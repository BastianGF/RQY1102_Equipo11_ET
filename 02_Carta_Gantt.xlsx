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xerod\Downloads\"/>
    </mc:Choice>
  </mc:AlternateContent>
  <xr:revisionPtr revIDLastSave="0" documentId="13_ncr:1_{EEDD0724-70D7-46B9-865E-18D25E2A5043}"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6" i="1" l="1"/>
  <c r="H45" i="1"/>
  <c r="H44" i="1"/>
  <c r="H43" i="1"/>
  <c r="G43" i="1"/>
  <c r="H42" i="1"/>
  <c r="H41" i="1"/>
  <c r="H40" i="1"/>
  <c r="H39" i="1"/>
  <c r="H38" i="1"/>
  <c r="G38" i="1"/>
  <c r="H37" i="1"/>
  <c r="H36" i="1"/>
  <c r="H35" i="1"/>
  <c r="G35" i="1"/>
  <c r="H34" i="1"/>
  <c r="H33" i="1"/>
  <c r="H32" i="1"/>
  <c r="H31" i="1"/>
  <c r="G31" i="1"/>
  <c r="H30" i="1"/>
  <c r="H29" i="1"/>
  <c r="H28" i="1"/>
  <c r="G28" i="1"/>
  <c r="H27" i="1"/>
  <c r="H26" i="1"/>
  <c r="H25" i="1"/>
  <c r="H24" i="1"/>
  <c r="G24" i="1"/>
  <c r="H23" i="1"/>
  <c r="H22" i="1"/>
  <c r="H21" i="1"/>
  <c r="H20" i="1"/>
  <c r="H19" i="1"/>
  <c r="H18" i="1"/>
  <c r="H17" i="1"/>
  <c r="H16" i="1"/>
  <c r="G16" i="1"/>
  <c r="H15" i="1"/>
  <c r="H14" i="1"/>
  <c r="H13" i="1"/>
  <c r="H12" i="1"/>
  <c r="G12" i="1"/>
  <c r="H11" i="1"/>
  <c r="H10" i="1"/>
  <c r="H9" i="1"/>
  <c r="H8" i="1"/>
  <c r="G8" i="1"/>
  <c r="G47" i="1" s="1"/>
  <c r="H7" i="1"/>
  <c r="I5" i="1"/>
  <c r="I6" i="1" s="1"/>
  <c r="J5" i="1" l="1"/>
  <c r="I4" i="1"/>
  <c r="K5" i="1" l="1"/>
  <c r="J6" i="1"/>
  <c r="L5" i="1" l="1"/>
  <c r="K6" i="1"/>
  <c r="L6" i="1" l="1"/>
  <c r="M5" i="1"/>
  <c r="M6" i="1" l="1"/>
  <c r="N5" i="1"/>
  <c r="N6" i="1" l="1"/>
  <c r="O5" i="1"/>
  <c r="O6" i="1" l="1"/>
  <c r="P5" i="1"/>
  <c r="P6" i="1" l="1"/>
  <c r="Q5" i="1"/>
  <c r="P4" i="1"/>
  <c r="Q6" i="1" l="1"/>
  <c r="R5" i="1"/>
  <c r="S5" i="1" l="1"/>
  <c r="R6" i="1"/>
  <c r="T5" i="1" l="1"/>
  <c r="S6" i="1"/>
  <c r="U5" i="1" l="1"/>
  <c r="T6" i="1"/>
  <c r="V5" i="1" l="1"/>
  <c r="U6" i="1"/>
  <c r="W5" i="1" l="1"/>
  <c r="V6" i="1"/>
  <c r="X5" i="1" l="1"/>
  <c r="W6" i="1"/>
  <c r="W4" i="1"/>
  <c r="X6" i="1" l="1"/>
  <c r="Y5" i="1"/>
  <c r="Z5" i="1" l="1"/>
  <c r="Y6" i="1"/>
  <c r="Z6" i="1" l="1"/>
  <c r="AA5" i="1"/>
  <c r="AA6" i="1" l="1"/>
  <c r="AB5" i="1"/>
  <c r="AB6" i="1" l="1"/>
  <c r="AC5" i="1"/>
  <c r="AC6" i="1" l="1"/>
  <c r="AD5" i="1"/>
  <c r="AE5" i="1" l="1"/>
  <c r="AD4" i="1"/>
  <c r="AD6" i="1"/>
  <c r="AF5" i="1" l="1"/>
  <c r="AE6" i="1"/>
  <c r="AG5" i="1" l="1"/>
  <c r="AF6" i="1"/>
  <c r="AH5" i="1" l="1"/>
  <c r="AG6" i="1"/>
  <c r="AI5" i="1" l="1"/>
  <c r="AH6" i="1"/>
  <c r="AJ5" i="1" l="1"/>
  <c r="AI6" i="1"/>
  <c r="AJ6" i="1" l="1"/>
  <c r="AK5" i="1"/>
  <c r="AK6" i="1" l="1"/>
  <c r="AK4" i="1"/>
  <c r="AL5" i="1"/>
  <c r="AL6" i="1" l="1"/>
  <c r="AM5" i="1"/>
  <c r="AM6" i="1" l="1"/>
  <c r="AN5" i="1"/>
  <c r="AN6" i="1" l="1"/>
  <c r="AO5" i="1"/>
  <c r="AO6" i="1" l="1"/>
  <c r="AP5" i="1"/>
  <c r="AQ5" i="1" l="1"/>
  <c r="AP6" i="1"/>
  <c r="AR5" i="1" l="1"/>
  <c r="AQ6" i="1"/>
  <c r="AS5" i="1" l="1"/>
  <c r="AR6" i="1"/>
  <c r="AR4" i="1"/>
  <c r="AT5" i="1" l="1"/>
  <c r="AS6" i="1"/>
  <c r="AU5" i="1" l="1"/>
  <c r="AT6" i="1"/>
  <c r="AV5" i="1" l="1"/>
  <c r="AU6" i="1"/>
  <c r="AW5" i="1" l="1"/>
  <c r="AV6" i="1"/>
  <c r="AX5" i="1" l="1"/>
  <c r="AW6" i="1"/>
  <c r="AX6" i="1" l="1"/>
  <c r="AY5" i="1"/>
  <c r="AY6" i="1" l="1"/>
  <c r="AZ5" i="1"/>
  <c r="AY4" i="1"/>
  <c r="AZ6" i="1" l="1"/>
  <c r="BA5" i="1"/>
  <c r="BA6" i="1" l="1"/>
  <c r="BB5" i="1"/>
  <c r="BB6" i="1" l="1"/>
  <c r="BC5" i="1"/>
  <c r="BD5" i="1" l="1"/>
  <c r="BC6" i="1"/>
  <c r="BE5" i="1" l="1"/>
  <c r="BD6" i="1"/>
  <c r="BF5" i="1" l="1"/>
  <c r="BE6" i="1"/>
  <c r="BG5" i="1" l="1"/>
  <c r="BF4" i="1"/>
  <c r="BF6" i="1"/>
  <c r="BH5" i="1" l="1"/>
  <c r="BG6" i="1"/>
  <c r="BH6" i="1" l="1"/>
  <c r="BI5" i="1"/>
  <c r="BI6" i="1" l="1"/>
  <c r="BJ5" i="1"/>
  <c r="BJ6" i="1" l="1"/>
  <c r="BK5" i="1"/>
  <c r="BL5" i="1" l="1"/>
  <c r="BL6" i="1" s="1"/>
  <c r="BK6" i="1"/>
</calcChain>
</file>

<file path=xl/sharedStrings.xml><?xml version="1.0" encoding="utf-8"?>
<sst xmlns="http://schemas.openxmlformats.org/spreadsheetml/2006/main" count="98" uniqueCount="60">
  <si>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</si>
  <si>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Software de automatización de administración y control de gastos comunes - Edificio El Mirador</t>
  </si>
  <si>
    <t>Escriba el nombre de la compañía en la celda B2.</t>
  </si>
  <si>
    <t>Asignatura: Ingenieria en desarrollo software</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</si>
  <si>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</si>
  <si>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</si>
  <si>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</si>
  <si>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</si>
  <si>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</si>
  <si>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</si>
  <si>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</si>
  <si>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</si>
  <si>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</si>
  <si>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</si>
  <si>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</si>
  <si>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COSTO (CLP)</t>
  </si>
  <si>
    <t>DÍAS</t>
  </si>
  <si>
    <t xml:space="preserve">No elimine esta fila. Esta fila está oculta para conservar una fórmula que se usa para resaltar el día actual dentro de la programación del proyecto. </t>
  </si>
  <si>
    <t>Fase 1: Análisis y Requerimientos</t>
  </si>
  <si>
    <t>Bastian González</t>
  </si>
  <si>
    <t xml:space="preserve">  Levantamiento de requerimientos funcionales y no funcionales</t>
  </si>
  <si>
    <t xml:space="preserve">  Identificación y validación de actores del sistema</t>
  </si>
  <si>
    <t xml:space="preserve">  Clasificación RF/RNF y construcción de matriz lógica</t>
  </si>
  <si>
    <t>Fase 2: Estilos y Patrones Arquitectónicos</t>
  </si>
  <si>
    <t xml:space="preserve">  Definición del estilo arquitectónico adoptado</t>
  </si>
  <si>
    <t xml:space="preserve">  Justificación del estilo según contexto del sistema</t>
  </si>
  <si>
    <t xml:space="preserve">  Identificación y descripción de patrones de diseño</t>
  </si>
  <si>
    <t>Fase 3: Modelo 4+1 y Vistas Arquitectónicas</t>
  </si>
  <si>
    <t xml:space="preserve">  Vista de Escenario: Diagrama de caso de uso general</t>
  </si>
  <si>
    <t xml:space="preserve">  Vista de Escenario: Caso de uso específico RF-24 (morosidad)</t>
  </si>
  <si>
    <t xml:space="preserve">  Vista de Escenario: Especificación de casos de uso (×4)</t>
  </si>
  <si>
    <t xml:space="preserve">  Vista Lógica: Diagrama de clases</t>
  </si>
  <si>
    <t xml:space="preserve">  Vista de Implementación: Diagrama de componentes y paquetes</t>
  </si>
  <si>
    <t xml:space="preserve">  Vista de Procesos: Diagrama de actividad</t>
  </si>
  <si>
    <t xml:space="preserve">  Vista Física: Diagrama de despliegue</t>
  </si>
  <si>
    <t>Fase 4: Requisitos de Calidad y Principios de Diseño</t>
  </si>
  <si>
    <t xml:space="preserve">  Definición de atributos de calidad (usabilidad, rendimiento…)</t>
  </si>
  <si>
    <t xml:space="preserve">  Criterios y métricas de evaluación de calidad</t>
  </si>
  <si>
    <t xml:space="preserve">  Descripción de principios de diseño aplicados al sistema</t>
  </si>
  <si>
    <t>Fase 5: Prototipo</t>
  </si>
  <si>
    <t xml:space="preserve">  Diseño de mockups de interfaces principales</t>
  </si>
  <si>
    <t xml:space="preserve">  Justificación de herramientas de prototipado</t>
  </si>
  <si>
    <t>Fase 6: Evaluación Heurística de Nielsen</t>
  </si>
  <si>
    <t xml:space="preserve">  Elaboración de lista de verificación heurística</t>
  </si>
  <si>
    <t xml:space="preserve">  Aplicación de la evaluación a prototipos</t>
  </si>
  <si>
    <t xml:space="preserve">  Análisis de resultados y métricas</t>
  </si>
  <si>
    <t>Fase 7: Control de Versiones</t>
  </si>
  <si>
    <t xml:space="preserve">  Definición y justificación del tipo de control de versiones</t>
  </si>
  <si>
    <t xml:space="preserve">  Justificación de herramientas de versionamiento</t>
  </si>
  <si>
    <t>Fase 8: Conclusiones, Bibliografía y Anexos</t>
  </si>
  <si>
    <t xml:space="preserve">  Redacción de conclusiones del proyecto</t>
  </si>
  <si>
    <t xml:space="preserve">  Compilación de bibliografía en formato APA</t>
  </si>
  <si>
    <t xml:space="preserve">  Elaboración de carta Gantt final y anexos</t>
  </si>
  <si>
    <t xml:space="preserve">  Revisión integral del documento DAS</t>
  </si>
  <si>
    <t>Fase 9: Revisión Final y Entrega</t>
  </si>
  <si>
    <t xml:space="preserve">  Revisión y correcciones finales del informe</t>
  </si>
  <si>
    <t xml:space="preserve">  Preparación y ensayo de presentación</t>
  </si>
  <si>
    <t xml:space="preserve">  Entrega del documento final al profesor</t>
  </si>
  <si>
    <t>Esta fila indica el final de la programación del proyecto. NO escriba nada en esta fila. 
Inserte nuevas filas encima de ésta para continuar creando la programación del proyecto.</t>
  </si>
  <si>
    <t>COSTO TOTAL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</si>
</sst>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
    <numFmt numFmtId="165" formatCode="ddd&quot;, &quot;m/d/yyyy"/>
    <numFmt numFmtId="166" formatCode="[$-C0A]d&quot; de &quot;mmmm&quot; de &quot;yyyy;@"/>
    <numFmt numFmtId="167" formatCode="d"/>
  </numFmts>
  <fonts count="21" x14ac:knownFonts="1">
    <font>
      <sz val="11"/>
      <color theme="1"/>
      <name val="Calibri"/>
      <family val="2"/>
      <charset val="1"/>
    </font>
    <font>
      <sz val="11"/>
      <color theme="0"/>
      <name val="Calibri"/>
      <family val="2"/>
      <charset val="1"/>
    </font>
    <font>
      <b/>
      <sz val="22"/>
      <color theme="1" tint="0.34977263710440382"/>
      <name val="Calibri"/>
      <family val="2"/>
      <charset val="1"/>
    </font>
    <font>
      <b/>
      <sz val="20"/>
      <color theme="4" tint="-0.249977111117893"/>
      <name val="Calibri"/>
      <family val="2"/>
      <charset val="1"/>
    </font>
    <font>
      <sz val="10"/>
      <name val="Calibri"/>
      <family val="2"/>
      <charset val="1"/>
    </font>
    <font>
      <sz val="14"/>
      <color theme="1"/>
      <name val="Calibri"/>
      <family val="2"/>
      <charset val="1"/>
    </font>
    <font>
      <sz val="9"/>
      <color theme="1"/>
      <name val="Calibri"/>
      <family val="2"/>
      <charset val="1"/>
    </font>
    <font>
      <sz val="9"/>
      <name val="Calibri"/>
      <family val="2"/>
      <charset val="1"/>
    </font>
    <font>
      <b/>
      <sz val="9"/>
      <color theme="0"/>
      <name val="Calibri"/>
      <family val="2"/>
      <charset val="1"/>
    </font>
    <font>
      <b/>
      <sz val="10"/>
      <color rgb="FFFFFFFF"/>
      <name val="Calibri"/>
      <charset val="1"/>
    </font>
    <font>
      <sz val="8"/>
      <color theme="0"/>
      <name val="Calibri"/>
      <family val="2"/>
      <charset val="1"/>
    </font>
    <font>
      <b/>
      <sz val="11"/>
      <color rgb="FFFFFFFF"/>
      <name val="Calibri"/>
      <charset val="1"/>
    </font>
    <font>
      <sz val="10"/>
      <color rgb="FF333333"/>
      <name val="Calibri"/>
      <charset val="1"/>
    </font>
    <font>
      <sz val="10"/>
      <name val="Calibri"/>
      <charset val="1"/>
    </font>
    <font>
      <u/>
      <sz val="10"/>
      <color rgb="FF333333"/>
      <name val="Calibri"/>
      <family val="2"/>
      <charset val="1"/>
    </font>
    <font>
      <b/>
      <sz val="12"/>
      <color rgb="FFFFFFFF"/>
      <name val="Calibri"/>
      <charset val="1"/>
    </font>
    <font>
      <sz val="11"/>
      <name val="Calibri"/>
      <family val="2"/>
      <charset val="1"/>
    </font>
    <font>
      <b/>
      <sz val="11"/>
      <color theme="1" tint="0.49977111117893003"/>
      <name val="Calibri"/>
      <family val="2"/>
      <charset val="1"/>
    </font>
    <font>
      <u/>
      <sz val="11"/>
      <color rgb="FF0000FF"/>
      <name val="Arial"/>
      <family val="2"/>
      <charset val="1"/>
    </font>
    <font>
      <sz val="10"/>
      <color theme="1" tint="0.49977111117893003"/>
      <name val="Arial"/>
      <family val="2"/>
      <charset val="1"/>
    </font>
    <font>
      <sz val="11"/>
      <color theme="1"/>
      <name val="Calibri"/>
      <family val="2"/>
      <charset val="1"/>
    </font>
  </fonts>
  <fills count="9">
    <fill>
      <patternFill patternType="none"/>
    </fill>
    <fill>
      <patternFill patternType="gray125"/>
    </fill>
    <fill>
      <patternFill patternType="solid">
        <fgColor theme="0" tint="-0.14999847407452621"/>
        <bgColor rgb="FFEBF3FA"/>
      </patternFill>
    </fill>
    <fill>
      <patternFill patternType="solid">
        <fgColor theme="1" tint="0.34977263710440382"/>
        <bgColor rgb="FF376092"/>
      </patternFill>
    </fill>
    <fill>
      <patternFill patternType="solid">
        <fgColor rgb="FF2E4057"/>
        <bgColor rgb="FF333333"/>
      </patternFill>
    </fill>
    <fill>
      <patternFill patternType="solid">
        <fgColor rgb="FFEBF3FA"/>
        <bgColor rgb="FFF2F2F2"/>
      </patternFill>
    </fill>
    <fill>
      <patternFill patternType="solid">
        <fgColor rgb="FFFFFFFF"/>
        <bgColor rgb="FFF2F2F2"/>
      </patternFill>
    </fill>
    <fill>
      <patternFill patternType="solid">
        <fgColor rgb="FF1A2D40"/>
        <bgColor rgb="FF1D2129"/>
      </patternFill>
    </fill>
    <fill>
      <patternFill patternType="solid">
        <fgColor theme="0" tint="-4.9989318521683403E-2"/>
        <bgColor rgb="FFEBF3FA"/>
      </patternFill>
    </fill>
  </fills>
  <borders count="11">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top style="thin">
        <color theme="0" tint="-0.34998626667073579"/>
      </top>
      <bottom/>
      <diagonal/>
    </border>
    <border>
      <left style="thin">
        <color rgb="FFB0B0B0"/>
      </left>
      <right style="thin">
        <color rgb="FFB0B0B0"/>
      </right>
      <top style="thin">
        <color rgb="FFB0B0B0"/>
      </top>
      <bottom style="thin">
        <color rgb="FFB0B0B0"/>
      </bottom>
      <diagonal/>
    </border>
    <border>
      <left style="thin">
        <color theme="0" tint="-0.34998626667073579"/>
      </left>
      <right style="thin">
        <color theme="0" tint="-0.34998626667073579"/>
      </right>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11">
    <xf numFmtId="0" fontId="0" fillId="0" borderId="0"/>
    <xf numFmtId="0" fontId="18" fillId="0" borderId="0">
      <alignment vertical="top"/>
      <protection locked="0"/>
    </xf>
    <xf numFmtId="164" fontId="20" fillId="0" borderId="1">
      <alignment horizontal="center" vertical="center"/>
    </xf>
    <xf numFmtId="165" fontId="20" fillId="0" borderId="2">
      <alignment horizontal="center" vertical="center"/>
    </xf>
    <xf numFmtId="0" fontId="20" fillId="0" borderId="1">
      <alignment horizontal="center" vertical="center"/>
    </xf>
    <xf numFmtId="0" fontId="20" fillId="0" borderId="1">
      <alignment horizontal="left" vertical="center" indent="2"/>
    </xf>
    <xf numFmtId="0" fontId="1" fillId="0" borderId="0"/>
    <xf numFmtId="0" fontId="2" fillId="0" borderId="0"/>
    <xf numFmtId="0" fontId="5" fillId="0" borderId="0"/>
    <xf numFmtId="0" fontId="5" fillId="0" borderId="0">
      <alignment vertical="top"/>
    </xf>
    <xf numFmtId="0" fontId="20" fillId="0" borderId="0">
      <alignment horizontal="right" indent="1"/>
    </xf>
  </cellStyleXfs>
  <cellXfs count="48">
    <xf numFmtId="0" fontId="0" fillId="0" borderId="0" xfId="0"/>
    <xf numFmtId="0" fontId="1" fillId="0" borderId="0" xfId="6"/>
    <xf numFmtId="0" fontId="0" fillId="0" borderId="0" xfId="0" applyAlignment="1">
      <alignment horizontal="center"/>
    </xf>
    <xf numFmtId="0" fontId="1" fillId="0" borderId="0" xfId="6" applyAlignment="1">
      <alignment wrapText="1"/>
    </xf>
    <xf numFmtId="0" fontId="2" fillId="0" borderId="0" xfId="7" applyAlignment="1">
      <alignment horizontal="left"/>
    </xf>
    <xf numFmtId="0" fontId="3"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center" vertical="center"/>
    </xf>
    <xf numFmtId="0" fontId="5" fillId="0" borderId="0" xfId="8"/>
    <xf numFmtId="0" fontId="5" fillId="0" borderId="0" xfId="9">
      <alignment vertical="top"/>
    </xf>
    <xf numFmtId="0" fontId="6" fillId="0" borderId="0" xfId="0" applyFont="1"/>
    <xf numFmtId="0" fontId="0" fillId="0" borderId="2" xfId="0" applyBorder="1" applyAlignment="1">
      <alignment horizontal="center" vertical="center"/>
    </xf>
    <xf numFmtId="0" fontId="0" fillId="0" borderId="5" xfId="0" applyBorder="1"/>
    <xf numFmtId="167" fontId="7" fillId="2" borderId="6" xfId="0" applyNumberFormat="1" applyFont="1" applyFill="1" applyBorder="1" applyAlignment="1">
      <alignment horizontal="center" vertical="center"/>
    </xf>
    <xf numFmtId="167" fontId="7" fillId="2" borderId="0" xfId="0" applyNumberFormat="1" applyFont="1" applyFill="1" applyAlignment="1">
      <alignment horizontal="center" vertical="center"/>
    </xf>
    <xf numFmtId="167" fontId="7" fillId="2" borderId="3" xfId="0" applyNumberFormat="1" applyFont="1" applyFill="1" applyBorder="1" applyAlignment="1">
      <alignment horizontal="center" vertical="center"/>
    </xf>
    <xf numFmtId="0" fontId="8" fillId="3" borderId="7" xfId="0" applyFont="1" applyFill="1" applyBorder="1" applyAlignment="1">
      <alignment horizontal="left" vertical="center" indent="1"/>
    </xf>
    <xf numFmtId="0" fontId="8" fillId="3" borderId="7" xfId="0" applyFont="1" applyFill="1" applyBorder="1" applyAlignment="1">
      <alignment horizontal="center" vertical="center" wrapText="1"/>
    </xf>
    <xf numFmtId="0" fontId="9" fillId="4" borderId="8" xfId="0" applyFont="1" applyFill="1" applyBorder="1" applyAlignment="1">
      <alignment horizontal="center" vertical="center"/>
    </xf>
    <xf numFmtId="0" fontId="10" fillId="3" borderId="9" xfId="0" applyFont="1" applyFill="1" applyBorder="1" applyAlignment="1">
      <alignment horizontal="center" vertical="center" shrinkToFit="1"/>
    </xf>
    <xf numFmtId="0" fontId="0" fillId="0" borderId="0" xfId="0" applyAlignment="1">
      <alignment wrapText="1"/>
    </xf>
    <xf numFmtId="0" fontId="0" fillId="0" borderId="10" xfId="0" applyBorder="1" applyAlignment="1">
      <alignment vertical="center"/>
    </xf>
    <xf numFmtId="0" fontId="0" fillId="0" borderId="0" xfId="0" applyAlignment="1">
      <alignment vertical="center"/>
    </xf>
    <xf numFmtId="0" fontId="11" fillId="4" borderId="8" xfId="0" applyFont="1" applyFill="1" applyBorder="1" applyAlignment="1">
      <alignment horizontal="left" vertical="center" wrapText="1"/>
    </xf>
    <xf numFmtId="0" fontId="11" fillId="4" borderId="8" xfId="0" applyFont="1" applyFill="1" applyBorder="1" applyAlignment="1">
      <alignment horizontal="center" vertical="center"/>
    </xf>
    <xf numFmtId="14" fontId="11" fillId="4" borderId="8" xfId="0" applyNumberFormat="1" applyFont="1" applyFill="1" applyBorder="1" applyAlignment="1">
      <alignment horizontal="center" vertical="center"/>
    </xf>
    <xf numFmtId="3" fontId="11" fillId="4" borderId="8" xfId="0"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2" fillId="5" borderId="8" xfId="0" applyFont="1" applyFill="1" applyBorder="1" applyAlignment="1">
      <alignment horizontal="center" vertical="center"/>
    </xf>
    <xf numFmtId="14" fontId="12" fillId="5" borderId="8" xfId="0" applyNumberFormat="1" applyFont="1" applyFill="1" applyBorder="1" applyAlignment="1">
      <alignment horizontal="center" vertical="center"/>
    </xf>
    <xf numFmtId="3" fontId="13" fillId="5" borderId="8" xfId="0" applyNumberFormat="1" applyFont="1" applyFill="1" applyBorder="1" applyAlignment="1">
      <alignment horizontal="right" vertical="center"/>
    </xf>
    <xf numFmtId="0" fontId="12" fillId="6" borderId="8" xfId="0" applyFont="1" applyFill="1" applyBorder="1" applyAlignment="1">
      <alignment horizontal="left" vertical="center" wrapText="1"/>
    </xf>
    <xf numFmtId="0" fontId="12" fillId="6" borderId="8" xfId="0" applyFont="1" applyFill="1" applyBorder="1" applyAlignment="1">
      <alignment horizontal="center" vertical="center"/>
    </xf>
    <xf numFmtId="14" fontId="12" fillId="6" borderId="8" xfId="0" applyNumberFormat="1" applyFont="1" applyFill="1" applyBorder="1" applyAlignment="1">
      <alignment horizontal="center" vertical="center"/>
    </xf>
    <xf numFmtId="3" fontId="13" fillId="6" borderId="8" xfId="0" applyNumberFormat="1" applyFont="1" applyFill="1" applyBorder="1" applyAlignment="1">
      <alignment horizontal="right" vertical="center"/>
    </xf>
    <xf numFmtId="0" fontId="14" fillId="5" borderId="8" xfId="0" applyFont="1" applyFill="1" applyBorder="1" applyAlignment="1">
      <alignment horizontal="center" vertical="center"/>
    </xf>
    <xf numFmtId="3" fontId="15" fillId="7" borderId="8" xfId="0" applyNumberFormat="1" applyFont="1" applyFill="1" applyBorder="1" applyAlignment="1">
      <alignment horizontal="right" vertical="center"/>
    </xf>
    <xf numFmtId="0" fontId="16" fillId="8" borderId="1" xfId="0" applyFont="1" applyFill="1" applyBorder="1" applyAlignment="1">
      <alignment horizontal="center" vertical="center"/>
    </xf>
    <xf numFmtId="0" fontId="0" fillId="8" borderId="10" xfId="0" applyFill="1" applyBorder="1" applyAlignment="1">
      <alignment vertical="center"/>
    </xf>
    <xf numFmtId="0" fontId="0" fillId="0" borderId="0" xfId="0" applyAlignment="1">
      <alignment horizontal="right" vertical="center"/>
    </xf>
    <xf numFmtId="0" fontId="17" fillId="0" borderId="0" xfId="0" applyFont="1"/>
    <xf numFmtId="0" fontId="1" fillId="0" borderId="0" xfId="0" applyFont="1" applyAlignment="1">
      <alignment horizontal="center"/>
    </xf>
    <xf numFmtId="0" fontId="19" fillId="0" borderId="0" xfId="1" applyFont="1" applyAlignment="1" applyProtection="1"/>
    <xf numFmtId="166" fontId="0" fillId="2" borderId="4" xfId="0" applyNumberFormat="1" applyFill="1" applyBorder="1" applyAlignment="1">
      <alignment horizontal="left" vertical="center" wrapText="1" indent="1"/>
    </xf>
    <xf numFmtId="0" fontId="11" fillId="7" borderId="8" xfId="0" applyFont="1" applyFill="1" applyBorder="1" applyAlignment="1">
      <alignment horizontal="left" vertical="center"/>
    </xf>
    <xf numFmtId="0" fontId="20" fillId="0" borderId="3" xfId="10" applyBorder="1">
      <alignment horizontal="right" indent="1"/>
    </xf>
    <xf numFmtId="165" fontId="20" fillId="0" borderId="2" xfId="3">
      <alignment horizontal="center" vertical="center"/>
    </xf>
  </cellXfs>
  <cellStyles count="11">
    <cellStyle name="Excel Built-in Heading 1" xfId="8" xr:uid="{00000000-0005-0000-0000-00000C000000}"/>
    <cellStyle name="Excel Built-in Heading 2" xfId="9" xr:uid="{00000000-0005-0000-0000-00000D000000}"/>
    <cellStyle name="Excel Built-in Heading 3" xfId="10" xr:uid="{00000000-0005-0000-0000-00000E000000}"/>
    <cellStyle name="Excel Built-in Title" xfId="7" xr:uid="{00000000-0005-0000-0000-00000B000000}"/>
    <cellStyle name="Fecha" xfId="2" xr:uid="{00000000-0005-0000-0000-000006000000}"/>
    <cellStyle name="Hipervínculo" xfId="1" builtinId="8"/>
    <cellStyle name="Inicio del proyecto" xfId="3" xr:uid="{00000000-0005-0000-0000-000007000000}"/>
    <cellStyle name="Nombre" xfId="4" xr:uid="{00000000-0005-0000-0000-000008000000}"/>
    <cellStyle name="Normal" xfId="0" builtinId="0"/>
    <cellStyle name="Tarea" xfId="5" xr:uid="{00000000-0005-0000-0000-000009000000}"/>
    <cellStyle name="zTextoOculto" xfId="6" xr:uid="{00000000-0005-0000-0000-00000A000000}"/>
  </cellStyles>
  <dxfs count="6">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7F7F7F"/>
      <rgbColor rgb="FF9999FF"/>
      <rgbColor rgb="FF595959"/>
      <rgbColor rgb="FFF2F2F2"/>
      <rgbColor rgb="FFEBF3FA"/>
      <rgbColor rgb="FF660066"/>
      <rgbColor rgb="FFFF8080"/>
      <rgbColor rgb="FF376092"/>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064A2"/>
      <rgbColor rgb="FFA6A6A6"/>
      <rgbColor rgb="FF1A2D40"/>
      <rgbColor rgb="FF339966"/>
      <rgbColor rgb="FF003300"/>
      <rgbColor rgb="FF1D2129"/>
      <rgbColor rgb="FF993300"/>
      <rgbColor rgb="FF993366"/>
      <rgbColor rgb="FF2E405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50"/>
  <sheetViews>
    <sheetView showGridLines="0" tabSelected="1" zoomScale="70" zoomScaleNormal="70" workbookViewId="0">
      <pane ySplit="6" topLeftCell="A8" activePane="bottomLeft" state="frozen"/>
      <selection activeCell="B1" sqref="B1"/>
      <selection pane="bottomLeft" activeCell="F4" sqref="F4"/>
    </sheetView>
  </sheetViews>
  <sheetFormatPr baseColWidth="10" defaultColWidth="9.109375" defaultRowHeight="14.4" x14ac:dyDescent="0.3"/>
  <cols>
    <col min="1" max="1" width="2.6640625" style="1" customWidth="1"/>
    <col min="2" max="2" width="52" customWidth="1"/>
    <col min="3" max="3" width="18" customWidth="1"/>
    <col min="4" max="4" width="10" customWidth="1"/>
    <col min="5" max="5" width="13" style="2" customWidth="1"/>
    <col min="6" max="6" width="13" customWidth="1"/>
    <col min="7" max="7" width="16" customWidth="1"/>
    <col min="8" max="8" width="7" hidden="1" customWidth="1"/>
    <col min="9" max="64" width="3.33203125" customWidth="1"/>
    <col min="69" max="70" width="10.33203125" customWidth="1"/>
  </cols>
  <sheetData>
    <row r="1" spans="1:64" ht="30" customHeight="1" x14ac:dyDescent="0.55000000000000004">
      <c r="A1" s="3" t="s">
        <v>0</v>
      </c>
      <c r="B1" s="4" t="s">
        <v>1</v>
      </c>
      <c r="C1" s="5"/>
      <c r="D1" s="6"/>
      <c r="E1" s="7"/>
      <c r="F1" s="8"/>
      <c r="H1" s="6"/>
    </row>
    <row r="2" spans="1:64" ht="30" customHeight="1" x14ac:dyDescent="0.35">
      <c r="A2" s="1" t="s">
        <v>2</v>
      </c>
      <c r="B2" s="9" t="s">
        <v>3</v>
      </c>
    </row>
    <row r="3" spans="1:64" ht="30" customHeight="1" x14ac:dyDescent="0.3">
      <c r="A3" s="1" t="s">
        <v>4</v>
      </c>
      <c r="B3" s="10"/>
      <c r="C3" s="46" t="s">
        <v>5</v>
      </c>
      <c r="D3" s="46"/>
      <c r="E3" s="47">
        <v>46111</v>
      </c>
      <c r="F3" s="47"/>
    </row>
    <row r="4" spans="1:64" ht="30" customHeight="1" x14ac:dyDescent="0.3">
      <c r="A4" s="3" t="s">
        <v>6</v>
      </c>
      <c r="B4" s="11"/>
      <c r="C4" s="46" t="s">
        <v>7</v>
      </c>
      <c r="D4" s="46"/>
      <c r="E4" s="12">
        <v>1</v>
      </c>
      <c r="I4" s="44">
        <f>I5</f>
        <v>46111</v>
      </c>
      <c r="J4" s="44"/>
      <c r="K4" s="44"/>
      <c r="L4" s="44"/>
      <c r="M4" s="44"/>
      <c r="N4" s="44"/>
      <c r="O4" s="44"/>
      <c r="P4" s="44">
        <f>P5</f>
        <v>46118</v>
      </c>
      <c r="Q4" s="44"/>
      <c r="R4" s="44"/>
      <c r="S4" s="44"/>
      <c r="T4" s="44"/>
      <c r="U4" s="44"/>
      <c r="V4" s="44"/>
      <c r="W4" s="44">
        <f>W5</f>
        <v>46125</v>
      </c>
      <c r="X4" s="44"/>
      <c r="Y4" s="44"/>
      <c r="Z4" s="44"/>
      <c r="AA4" s="44"/>
      <c r="AB4" s="44"/>
      <c r="AC4" s="44"/>
      <c r="AD4" s="44">
        <f>AD5</f>
        <v>46132</v>
      </c>
      <c r="AE4" s="44"/>
      <c r="AF4" s="44"/>
      <c r="AG4" s="44"/>
      <c r="AH4" s="44"/>
      <c r="AI4" s="44"/>
      <c r="AJ4" s="44"/>
      <c r="AK4" s="44">
        <f>AK5</f>
        <v>46139</v>
      </c>
      <c r="AL4" s="44"/>
      <c r="AM4" s="44"/>
      <c r="AN4" s="44"/>
      <c r="AO4" s="44"/>
      <c r="AP4" s="44"/>
      <c r="AQ4" s="44"/>
      <c r="AR4" s="44">
        <f>AR5</f>
        <v>46146</v>
      </c>
      <c r="AS4" s="44"/>
      <c r="AT4" s="44"/>
      <c r="AU4" s="44"/>
      <c r="AV4" s="44"/>
      <c r="AW4" s="44"/>
      <c r="AX4" s="44"/>
      <c r="AY4" s="44">
        <f>AY5</f>
        <v>46153</v>
      </c>
      <c r="AZ4" s="44"/>
      <c r="BA4" s="44"/>
      <c r="BB4" s="44"/>
      <c r="BC4" s="44"/>
      <c r="BD4" s="44"/>
      <c r="BE4" s="44"/>
      <c r="BF4" s="44">
        <f>BF5</f>
        <v>46160</v>
      </c>
      <c r="BG4" s="44"/>
      <c r="BH4" s="44"/>
      <c r="BI4" s="44"/>
      <c r="BJ4" s="44"/>
      <c r="BK4" s="44"/>
      <c r="BL4" s="44"/>
    </row>
    <row r="5" spans="1:64" ht="15" customHeight="1" x14ac:dyDescent="0.3">
      <c r="A5" s="3" t="s">
        <v>8</v>
      </c>
      <c r="B5" s="13"/>
      <c r="C5" s="13"/>
      <c r="D5" s="13"/>
      <c r="E5" s="13"/>
      <c r="F5" s="13"/>
      <c r="G5" s="13"/>
      <c r="I5" s="14">
        <f>Inicio_del_proyecto-WEEKDAY(Inicio_del_proyecto,1)+2+7*(Semana_para_mostrar-1)</f>
        <v>46111</v>
      </c>
      <c r="J5" s="15">
        <f t="shared" ref="J5:AO5" si="0">I5+1</f>
        <v>46112</v>
      </c>
      <c r="K5" s="15">
        <f t="shared" si="0"/>
        <v>46113</v>
      </c>
      <c r="L5" s="15">
        <f t="shared" si="0"/>
        <v>46114</v>
      </c>
      <c r="M5" s="15">
        <f t="shared" si="0"/>
        <v>46115</v>
      </c>
      <c r="N5" s="15">
        <f t="shared" si="0"/>
        <v>46116</v>
      </c>
      <c r="O5" s="16">
        <f t="shared" si="0"/>
        <v>46117</v>
      </c>
      <c r="P5" s="14">
        <f t="shared" si="0"/>
        <v>46118</v>
      </c>
      <c r="Q5" s="15">
        <f t="shared" si="0"/>
        <v>46119</v>
      </c>
      <c r="R5" s="15">
        <f t="shared" si="0"/>
        <v>46120</v>
      </c>
      <c r="S5" s="15">
        <f t="shared" si="0"/>
        <v>46121</v>
      </c>
      <c r="T5" s="15">
        <f t="shared" si="0"/>
        <v>46122</v>
      </c>
      <c r="U5" s="15">
        <f t="shared" si="0"/>
        <v>46123</v>
      </c>
      <c r="V5" s="16">
        <f t="shared" si="0"/>
        <v>46124</v>
      </c>
      <c r="W5" s="14">
        <f t="shared" si="0"/>
        <v>46125</v>
      </c>
      <c r="X5" s="15">
        <f t="shared" si="0"/>
        <v>46126</v>
      </c>
      <c r="Y5" s="15">
        <f t="shared" si="0"/>
        <v>46127</v>
      </c>
      <c r="Z5" s="15">
        <f t="shared" si="0"/>
        <v>46128</v>
      </c>
      <c r="AA5" s="15">
        <f t="shared" si="0"/>
        <v>46129</v>
      </c>
      <c r="AB5" s="15">
        <f t="shared" si="0"/>
        <v>46130</v>
      </c>
      <c r="AC5" s="16">
        <f t="shared" si="0"/>
        <v>46131</v>
      </c>
      <c r="AD5" s="14">
        <f t="shared" si="0"/>
        <v>46132</v>
      </c>
      <c r="AE5" s="15">
        <f t="shared" si="0"/>
        <v>46133</v>
      </c>
      <c r="AF5" s="15">
        <f t="shared" si="0"/>
        <v>46134</v>
      </c>
      <c r="AG5" s="15">
        <f t="shared" si="0"/>
        <v>46135</v>
      </c>
      <c r="AH5" s="15">
        <f t="shared" si="0"/>
        <v>46136</v>
      </c>
      <c r="AI5" s="15">
        <f t="shared" si="0"/>
        <v>46137</v>
      </c>
      <c r="AJ5" s="16">
        <f t="shared" si="0"/>
        <v>46138</v>
      </c>
      <c r="AK5" s="14">
        <f t="shared" si="0"/>
        <v>46139</v>
      </c>
      <c r="AL5" s="15">
        <f t="shared" si="0"/>
        <v>46140</v>
      </c>
      <c r="AM5" s="15">
        <f t="shared" si="0"/>
        <v>46141</v>
      </c>
      <c r="AN5" s="15">
        <f t="shared" si="0"/>
        <v>46142</v>
      </c>
      <c r="AO5" s="15">
        <f t="shared" si="0"/>
        <v>46143</v>
      </c>
      <c r="AP5" s="15">
        <f t="shared" ref="AP5:BL5" si="1">AO5+1</f>
        <v>46144</v>
      </c>
      <c r="AQ5" s="16">
        <f t="shared" si="1"/>
        <v>46145</v>
      </c>
      <c r="AR5" s="14">
        <f t="shared" si="1"/>
        <v>46146</v>
      </c>
      <c r="AS5" s="15">
        <f t="shared" si="1"/>
        <v>46147</v>
      </c>
      <c r="AT5" s="15">
        <f t="shared" si="1"/>
        <v>46148</v>
      </c>
      <c r="AU5" s="15">
        <f t="shared" si="1"/>
        <v>46149</v>
      </c>
      <c r="AV5" s="15">
        <f t="shared" si="1"/>
        <v>46150</v>
      </c>
      <c r="AW5" s="15">
        <f t="shared" si="1"/>
        <v>46151</v>
      </c>
      <c r="AX5" s="16">
        <f t="shared" si="1"/>
        <v>46152</v>
      </c>
      <c r="AY5" s="14">
        <f t="shared" si="1"/>
        <v>46153</v>
      </c>
      <c r="AZ5" s="15">
        <f t="shared" si="1"/>
        <v>46154</v>
      </c>
      <c r="BA5" s="15">
        <f t="shared" si="1"/>
        <v>46155</v>
      </c>
      <c r="BB5" s="15">
        <f t="shared" si="1"/>
        <v>46156</v>
      </c>
      <c r="BC5" s="15">
        <f t="shared" si="1"/>
        <v>46157</v>
      </c>
      <c r="BD5" s="15">
        <f t="shared" si="1"/>
        <v>46158</v>
      </c>
      <c r="BE5" s="16">
        <f t="shared" si="1"/>
        <v>46159</v>
      </c>
      <c r="BF5" s="14">
        <f t="shared" si="1"/>
        <v>46160</v>
      </c>
      <c r="BG5" s="15">
        <f t="shared" si="1"/>
        <v>46161</v>
      </c>
      <c r="BH5" s="15">
        <f t="shared" si="1"/>
        <v>46162</v>
      </c>
      <c r="BI5" s="15">
        <f t="shared" si="1"/>
        <v>46163</v>
      </c>
      <c r="BJ5" s="15">
        <f t="shared" si="1"/>
        <v>46164</v>
      </c>
      <c r="BK5" s="15">
        <f t="shared" si="1"/>
        <v>46165</v>
      </c>
      <c r="BL5" s="16">
        <f t="shared" si="1"/>
        <v>46166</v>
      </c>
    </row>
    <row r="6" spans="1:64" ht="30" customHeight="1" x14ac:dyDescent="0.3">
      <c r="A6" s="3" t="s">
        <v>9</v>
      </c>
      <c r="B6" s="17" t="s">
        <v>10</v>
      </c>
      <c r="C6" s="18" t="s">
        <v>11</v>
      </c>
      <c r="D6" s="18" t="s">
        <v>12</v>
      </c>
      <c r="E6" s="18" t="s">
        <v>13</v>
      </c>
      <c r="F6" s="18" t="s">
        <v>14</v>
      </c>
      <c r="G6" s="19" t="s">
        <v>15</v>
      </c>
      <c r="H6" s="18" t="s">
        <v>16</v>
      </c>
      <c r="I6" s="20" t="str">
        <f t="shared" ref="I6:AN6" si="2">LEFT(TEXT(I5,"ddd"),1)</f>
        <v>l</v>
      </c>
      <c r="J6" s="20" t="str">
        <f t="shared" si="2"/>
        <v>m</v>
      </c>
      <c r="K6" s="20" t="str">
        <f t="shared" si="2"/>
        <v>m</v>
      </c>
      <c r="L6" s="20" t="str">
        <f t="shared" si="2"/>
        <v>j</v>
      </c>
      <c r="M6" s="20" t="str">
        <f t="shared" si="2"/>
        <v>v</v>
      </c>
      <c r="N6" s="20" t="str">
        <f t="shared" si="2"/>
        <v>s</v>
      </c>
      <c r="O6" s="20" t="str">
        <f t="shared" si="2"/>
        <v>d</v>
      </c>
      <c r="P6" s="20" t="str">
        <f t="shared" si="2"/>
        <v>l</v>
      </c>
      <c r="Q6" s="20" t="str">
        <f t="shared" si="2"/>
        <v>m</v>
      </c>
      <c r="R6" s="20" t="str">
        <f t="shared" si="2"/>
        <v>m</v>
      </c>
      <c r="S6" s="20" t="str">
        <f t="shared" si="2"/>
        <v>j</v>
      </c>
      <c r="T6" s="20" t="str">
        <f t="shared" si="2"/>
        <v>v</v>
      </c>
      <c r="U6" s="20" t="str">
        <f t="shared" si="2"/>
        <v>s</v>
      </c>
      <c r="V6" s="20" t="str">
        <f t="shared" si="2"/>
        <v>d</v>
      </c>
      <c r="W6" s="20" t="str">
        <f t="shared" si="2"/>
        <v>l</v>
      </c>
      <c r="X6" s="20" t="str">
        <f t="shared" si="2"/>
        <v>m</v>
      </c>
      <c r="Y6" s="20" t="str">
        <f t="shared" si="2"/>
        <v>m</v>
      </c>
      <c r="Z6" s="20" t="str">
        <f t="shared" si="2"/>
        <v>j</v>
      </c>
      <c r="AA6" s="20" t="str">
        <f t="shared" si="2"/>
        <v>v</v>
      </c>
      <c r="AB6" s="20" t="str">
        <f t="shared" si="2"/>
        <v>s</v>
      </c>
      <c r="AC6" s="20" t="str">
        <f t="shared" si="2"/>
        <v>d</v>
      </c>
      <c r="AD6" s="20" t="str">
        <f t="shared" si="2"/>
        <v>l</v>
      </c>
      <c r="AE6" s="20" t="str">
        <f t="shared" si="2"/>
        <v>m</v>
      </c>
      <c r="AF6" s="20" t="str">
        <f t="shared" si="2"/>
        <v>m</v>
      </c>
      <c r="AG6" s="20" t="str">
        <f t="shared" si="2"/>
        <v>j</v>
      </c>
      <c r="AH6" s="20" t="str">
        <f t="shared" si="2"/>
        <v>v</v>
      </c>
      <c r="AI6" s="20" t="str">
        <f t="shared" si="2"/>
        <v>s</v>
      </c>
      <c r="AJ6" s="20" t="str">
        <f t="shared" si="2"/>
        <v>d</v>
      </c>
      <c r="AK6" s="20" t="str">
        <f t="shared" si="2"/>
        <v>l</v>
      </c>
      <c r="AL6" s="20" t="str">
        <f t="shared" si="2"/>
        <v>m</v>
      </c>
      <c r="AM6" s="20" t="str">
        <f t="shared" si="2"/>
        <v>m</v>
      </c>
      <c r="AN6" s="20" t="str">
        <f t="shared" si="2"/>
        <v>j</v>
      </c>
      <c r="AO6" s="20" t="str">
        <f t="shared" ref="AO6:BL6" si="3">LEFT(TEXT(AO5,"ddd"),1)</f>
        <v>v</v>
      </c>
      <c r="AP6" s="20" t="str">
        <f t="shared" si="3"/>
        <v>s</v>
      </c>
      <c r="AQ6" s="20" t="str">
        <f t="shared" si="3"/>
        <v>d</v>
      </c>
      <c r="AR6" s="20" t="str">
        <f t="shared" si="3"/>
        <v>l</v>
      </c>
      <c r="AS6" s="20" t="str">
        <f t="shared" si="3"/>
        <v>m</v>
      </c>
      <c r="AT6" s="20" t="str">
        <f t="shared" si="3"/>
        <v>m</v>
      </c>
      <c r="AU6" s="20" t="str">
        <f t="shared" si="3"/>
        <v>j</v>
      </c>
      <c r="AV6" s="20" t="str">
        <f t="shared" si="3"/>
        <v>v</v>
      </c>
      <c r="AW6" s="20" t="str">
        <f t="shared" si="3"/>
        <v>s</v>
      </c>
      <c r="AX6" s="20" t="str">
        <f t="shared" si="3"/>
        <v>d</v>
      </c>
      <c r="AY6" s="20" t="str">
        <f t="shared" si="3"/>
        <v>l</v>
      </c>
      <c r="AZ6" s="20" t="str">
        <f t="shared" si="3"/>
        <v>m</v>
      </c>
      <c r="BA6" s="20" t="str">
        <f t="shared" si="3"/>
        <v>m</v>
      </c>
      <c r="BB6" s="20" t="str">
        <f t="shared" si="3"/>
        <v>j</v>
      </c>
      <c r="BC6" s="20" t="str">
        <f t="shared" si="3"/>
        <v>v</v>
      </c>
      <c r="BD6" s="20" t="str">
        <f t="shared" si="3"/>
        <v>s</v>
      </c>
      <c r="BE6" s="20" t="str">
        <f t="shared" si="3"/>
        <v>d</v>
      </c>
      <c r="BF6" s="20" t="str">
        <f t="shared" si="3"/>
        <v>l</v>
      </c>
      <c r="BG6" s="20" t="str">
        <f t="shared" si="3"/>
        <v>m</v>
      </c>
      <c r="BH6" s="20" t="str">
        <f t="shared" si="3"/>
        <v>m</v>
      </c>
      <c r="BI6" s="20" t="str">
        <f t="shared" si="3"/>
        <v>j</v>
      </c>
      <c r="BJ6" s="20" t="str">
        <f t="shared" si="3"/>
        <v>v</v>
      </c>
      <c r="BK6" s="20" t="str">
        <f t="shared" si="3"/>
        <v>s</v>
      </c>
      <c r="BL6" s="20" t="str">
        <f t="shared" si="3"/>
        <v>d</v>
      </c>
    </row>
    <row r="7" spans="1:64" ht="30" hidden="1" customHeight="1" x14ac:dyDescent="0.3">
      <c r="A7" s="1" t="s">
        <v>17</v>
      </c>
      <c r="C7" s="21"/>
      <c r="H7"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s="23" customFormat="1" ht="27.75" customHeight="1" x14ac:dyDescent="0.3">
      <c r="B8" s="24" t="s">
        <v>18</v>
      </c>
      <c r="C8" s="25" t="s">
        <v>19</v>
      </c>
      <c r="D8" s="25">
        <v>1</v>
      </c>
      <c r="E8" s="26">
        <v>46111</v>
      </c>
      <c r="F8" s="26">
        <v>46117</v>
      </c>
      <c r="G8" s="27">
        <f>SUM(G9:G11)</f>
        <v>465000</v>
      </c>
      <c r="H8" s="25">
        <f t="shared" ref="H8:H46" si="4">IF(OR(ISBLANK(E8),ISBLANK(F8)),"",F8-E8+1)</f>
        <v>7</v>
      </c>
    </row>
    <row r="9" spans="1:64" s="23" customFormat="1" ht="21.75" customHeight="1" x14ac:dyDescent="0.3">
      <c r="B9" s="28" t="s">
        <v>20</v>
      </c>
      <c r="C9" s="29" t="s">
        <v>19</v>
      </c>
      <c r="D9" s="29">
        <v>1</v>
      </c>
      <c r="E9" s="30">
        <v>46111</v>
      </c>
      <c r="F9" s="30">
        <v>46113</v>
      </c>
      <c r="G9" s="31">
        <v>225000</v>
      </c>
      <c r="H9" s="29">
        <f t="shared" si="4"/>
        <v>3</v>
      </c>
    </row>
    <row r="10" spans="1:64" s="23" customFormat="1" ht="21.75" customHeight="1" x14ac:dyDescent="0.3">
      <c r="B10" s="32" t="s">
        <v>21</v>
      </c>
      <c r="C10" s="33" t="s">
        <v>19</v>
      </c>
      <c r="D10" s="33">
        <v>1</v>
      </c>
      <c r="E10" s="34">
        <v>46113</v>
      </c>
      <c r="F10" s="34">
        <v>46115</v>
      </c>
      <c r="G10" s="35">
        <v>120000</v>
      </c>
      <c r="H10" s="33">
        <f t="shared" si="4"/>
        <v>3</v>
      </c>
    </row>
    <row r="11" spans="1:64" s="23" customFormat="1" ht="21.75" customHeight="1" x14ac:dyDescent="0.3">
      <c r="B11" s="28" t="s">
        <v>22</v>
      </c>
      <c r="C11" s="29" t="s">
        <v>19</v>
      </c>
      <c r="D11" s="29">
        <v>1</v>
      </c>
      <c r="E11" s="30">
        <v>46115</v>
      </c>
      <c r="F11" s="30">
        <v>46117</v>
      </c>
      <c r="G11" s="31">
        <v>120000</v>
      </c>
      <c r="H11" s="29">
        <f t="shared" si="4"/>
        <v>3</v>
      </c>
    </row>
    <row r="12" spans="1:64" s="23" customFormat="1" ht="27.75" customHeight="1" x14ac:dyDescent="0.3">
      <c r="B12" s="24" t="s">
        <v>23</v>
      </c>
      <c r="C12" s="25" t="s">
        <v>19</v>
      </c>
      <c r="D12" s="25">
        <v>1</v>
      </c>
      <c r="E12" s="26">
        <v>46118</v>
      </c>
      <c r="F12" s="26">
        <v>46124</v>
      </c>
      <c r="G12" s="27">
        <f>SUM(G13:G15)</f>
        <v>330000</v>
      </c>
      <c r="H12" s="25">
        <f t="shared" si="4"/>
        <v>7</v>
      </c>
    </row>
    <row r="13" spans="1:64" s="23" customFormat="1" ht="21.75" customHeight="1" x14ac:dyDescent="0.3">
      <c r="B13" s="28" t="s">
        <v>24</v>
      </c>
      <c r="C13" s="29" t="s">
        <v>19</v>
      </c>
      <c r="D13" s="36">
        <v>1</v>
      </c>
      <c r="E13" s="30">
        <v>46118</v>
      </c>
      <c r="F13" s="30">
        <v>46120</v>
      </c>
      <c r="G13" s="35">
        <v>120000</v>
      </c>
      <c r="H13" s="29">
        <f t="shared" si="4"/>
        <v>3</v>
      </c>
    </row>
    <row r="14" spans="1:64" s="23" customFormat="1" ht="21.75" customHeight="1" x14ac:dyDescent="0.3">
      <c r="B14" s="32" t="s">
        <v>25</v>
      </c>
      <c r="C14" s="33" t="s">
        <v>19</v>
      </c>
      <c r="D14" s="33">
        <v>1</v>
      </c>
      <c r="E14" s="34">
        <v>46120</v>
      </c>
      <c r="F14" s="34">
        <v>46122</v>
      </c>
      <c r="G14" s="31">
        <v>90000</v>
      </c>
      <c r="H14" s="33">
        <f t="shared" si="4"/>
        <v>3</v>
      </c>
    </row>
    <row r="15" spans="1:64" s="23" customFormat="1" ht="21.75" customHeight="1" x14ac:dyDescent="0.3">
      <c r="B15" s="28" t="s">
        <v>26</v>
      </c>
      <c r="C15" s="29" t="s">
        <v>19</v>
      </c>
      <c r="D15" s="29">
        <v>1</v>
      </c>
      <c r="E15" s="30">
        <v>46122</v>
      </c>
      <c r="F15" s="30">
        <v>46124</v>
      </c>
      <c r="G15" s="35">
        <v>120000</v>
      </c>
      <c r="H15" s="29">
        <f t="shared" si="4"/>
        <v>3</v>
      </c>
    </row>
    <row r="16" spans="1:64" s="23" customFormat="1" ht="27.75" customHeight="1" x14ac:dyDescent="0.3">
      <c r="B16" s="24" t="s">
        <v>27</v>
      </c>
      <c r="C16" s="25" t="s">
        <v>19</v>
      </c>
      <c r="D16" s="25">
        <v>1</v>
      </c>
      <c r="E16" s="26">
        <v>46125</v>
      </c>
      <c r="F16" s="26">
        <v>46158</v>
      </c>
      <c r="G16" s="27">
        <f>SUM(G17:G23)</f>
        <v>1710000</v>
      </c>
      <c r="H16" s="25">
        <f t="shared" si="4"/>
        <v>34</v>
      </c>
    </row>
    <row r="17" spans="2:8" s="23" customFormat="1" ht="21.75" customHeight="1" x14ac:dyDescent="0.3">
      <c r="B17" s="28" t="s">
        <v>28</v>
      </c>
      <c r="C17" s="29" t="s">
        <v>19</v>
      </c>
      <c r="D17" s="29">
        <v>1</v>
      </c>
      <c r="E17" s="30">
        <v>46125</v>
      </c>
      <c r="F17" s="30">
        <v>46130</v>
      </c>
      <c r="G17" s="31">
        <v>225000</v>
      </c>
      <c r="H17" s="29">
        <f t="shared" si="4"/>
        <v>6</v>
      </c>
    </row>
    <row r="18" spans="2:8" ht="21.75" customHeight="1" x14ac:dyDescent="0.3">
      <c r="B18" s="32" t="s">
        <v>29</v>
      </c>
      <c r="C18" s="33" t="s">
        <v>19</v>
      </c>
      <c r="D18" s="33">
        <v>1</v>
      </c>
      <c r="E18" s="34">
        <v>46130</v>
      </c>
      <c r="F18" s="34">
        <v>46135</v>
      </c>
      <c r="G18" s="35">
        <v>225000</v>
      </c>
      <c r="H18" s="33">
        <f t="shared" si="4"/>
        <v>6</v>
      </c>
    </row>
    <row r="19" spans="2:8" ht="21.75" customHeight="1" x14ac:dyDescent="0.3">
      <c r="B19" s="28" t="s">
        <v>30</v>
      </c>
      <c r="C19" s="29" t="s">
        <v>19</v>
      </c>
      <c r="D19" s="29">
        <v>1</v>
      </c>
      <c r="E19" s="30">
        <v>46135</v>
      </c>
      <c r="F19" s="30">
        <v>46140</v>
      </c>
      <c r="G19" s="31">
        <v>300000</v>
      </c>
      <c r="H19" s="29">
        <f t="shared" si="4"/>
        <v>6</v>
      </c>
    </row>
    <row r="20" spans="2:8" ht="21.75" customHeight="1" x14ac:dyDescent="0.3">
      <c r="B20" s="32" t="s">
        <v>31</v>
      </c>
      <c r="C20" s="33" t="s">
        <v>19</v>
      </c>
      <c r="D20" s="33">
        <v>1</v>
      </c>
      <c r="E20" s="34">
        <v>46140</v>
      </c>
      <c r="F20" s="34">
        <v>46144</v>
      </c>
      <c r="G20" s="35">
        <v>300000</v>
      </c>
      <c r="H20" s="33">
        <f t="shared" si="4"/>
        <v>5</v>
      </c>
    </row>
    <row r="21" spans="2:8" ht="21.75" customHeight="1" x14ac:dyDescent="0.3">
      <c r="B21" s="28" t="s">
        <v>32</v>
      </c>
      <c r="C21" s="29" t="s">
        <v>19</v>
      </c>
      <c r="D21" s="29">
        <v>1</v>
      </c>
      <c r="E21" s="30">
        <v>46144</v>
      </c>
      <c r="F21" s="30">
        <v>46149</v>
      </c>
      <c r="G21" s="31">
        <v>300000</v>
      </c>
      <c r="H21" s="29">
        <f t="shared" si="4"/>
        <v>6</v>
      </c>
    </row>
    <row r="22" spans="2:8" ht="21.75" customHeight="1" x14ac:dyDescent="0.3">
      <c r="B22" s="32" t="s">
        <v>33</v>
      </c>
      <c r="C22" s="33" t="s">
        <v>19</v>
      </c>
      <c r="D22" s="33">
        <v>1</v>
      </c>
      <c r="E22" s="34">
        <v>46149</v>
      </c>
      <c r="F22" s="34">
        <v>46153</v>
      </c>
      <c r="G22" s="35">
        <v>180000</v>
      </c>
      <c r="H22" s="33">
        <f t="shared" si="4"/>
        <v>5</v>
      </c>
    </row>
    <row r="23" spans="2:8" ht="21.75" customHeight="1" x14ac:dyDescent="0.3">
      <c r="B23" s="28" t="s">
        <v>34</v>
      </c>
      <c r="C23" s="29" t="s">
        <v>19</v>
      </c>
      <c r="D23" s="29">
        <v>1</v>
      </c>
      <c r="E23" s="30">
        <v>46153</v>
      </c>
      <c r="F23" s="30">
        <v>46158</v>
      </c>
      <c r="G23" s="31">
        <v>180000</v>
      </c>
      <c r="H23" s="29">
        <f t="shared" si="4"/>
        <v>6</v>
      </c>
    </row>
    <row r="24" spans="2:8" ht="27.75" customHeight="1" x14ac:dyDescent="0.3">
      <c r="B24" s="24" t="s">
        <v>35</v>
      </c>
      <c r="C24" s="25" t="s">
        <v>19</v>
      </c>
      <c r="D24" s="25">
        <v>1</v>
      </c>
      <c r="E24" s="26">
        <v>46159</v>
      </c>
      <c r="F24" s="26">
        <v>46165</v>
      </c>
      <c r="G24" s="27">
        <f>SUM(G25:G27)</f>
        <v>450000</v>
      </c>
      <c r="H24" s="25">
        <f t="shared" si="4"/>
        <v>7</v>
      </c>
    </row>
    <row r="25" spans="2:8" ht="21.75" customHeight="1" x14ac:dyDescent="0.3">
      <c r="B25" s="28" t="s">
        <v>36</v>
      </c>
      <c r="C25" s="29" t="s">
        <v>19</v>
      </c>
      <c r="D25" s="29">
        <v>1</v>
      </c>
      <c r="E25" s="30">
        <v>46159</v>
      </c>
      <c r="F25" s="30">
        <v>46161</v>
      </c>
      <c r="G25" s="35">
        <v>150000</v>
      </c>
      <c r="H25" s="29">
        <f t="shared" si="4"/>
        <v>3</v>
      </c>
    </row>
    <row r="26" spans="2:8" ht="21.75" customHeight="1" x14ac:dyDescent="0.3">
      <c r="B26" s="32" t="s">
        <v>37</v>
      </c>
      <c r="C26" s="33" t="s">
        <v>19</v>
      </c>
      <c r="D26" s="33">
        <v>1</v>
      </c>
      <c r="E26" s="34">
        <v>46161</v>
      </c>
      <c r="F26" s="34">
        <v>46163</v>
      </c>
      <c r="G26" s="31">
        <v>150000</v>
      </c>
      <c r="H26" s="33">
        <f t="shared" si="4"/>
        <v>3</v>
      </c>
    </row>
    <row r="27" spans="2:8" ht="21.75" customHeight="1" x14ac:dyDescent="0.3">
      <c r="B27" s="28" t="s">
        <v>38</v>
      </c>
      <c r="C27" s="29" t="s">
        <v>19</v>
      </c>
      <c r="D27" s="29">
        <v>1</v>
      </c>
      <c r="E27" s="30">
        <v>46163</v>
      </c>
      <c r="F27" s="30">
        <v>46165</v>
      </c>
      <c r="G27" s="35">
        <v>150000</v>
      </c>
      <c r="H27" s="29">
        <f t="shared" si="4"/>
        <v>3</v>
      </c>
    </row>
    <row r="28" spans="2:8" ht="27.75" customHeight="1" x14ac:dyDescent="0.3">
      <c r="B28" s="24" t="s">
        <v>39</v>
      </c>
      <c r="C28" s="25" t="s">
        <v>19</v>
      </c>
      <c r="D28" s="25">
        <v>1</v>
      </c>
      <c r="E28" s="26">
        <v>46166</v>
      </c>
      <c r="F28" s="26">
        <v>46172</v>
      </c>
      <c r="G28" s="27">
        <f>SUM(G29:G30)</f>
        <v>405000</v>
      </c>
      <c r="H28" s="25">
        <f t="shared" si="4"/>
        <v>7</v>
      </c>
    </row>
    <row r="29" spans="2:8" ht="21.75" customHeight="1" x14ac:dyDescent="0.3">
      <c r="B29" s="28" t="s">
        <v>40</v>
      </c>
      <c r="C29" s="29" t="s">
        <v>19</v>
      </c>
      <c r="D29" s="29">
        <v>1</v>
      </c>
      <c r="E29" s="30">
        <v>46166</v>
      </c>
      <c r="F29" s="30">
        <v>46169</v>
      </c>
      <c r="G29" s="31">
        <v>225000</v>
      </c>
      <c r="H29" s="29">
        <f t="shared" si="4"/>
        <v>4</v>
      </c>
    </row>
    <row r="30" spans="2:8" ht="21.75" customHeight="1" x14ac:dyDescent="0.3">
      <c r="B30" s="32" t="s">
        <v>41</v>
      </c>
      <c r="C30" s="33" t="s">
        <v>19</v>
      </c>
      <c r="D30" s="33">
        <v>1</v>
      </c>
      <c r="E30" s="34">
        <v>46169</v>
      </c>
      <c r="F30" s="34">
        <v>46172</v>
      </c>
      <c r="G30" s="35">
        <v>180000</v>
      </c>
      <c r="H30" s="33">
        <f t="shared" si="4"/>
        <v>4</v>
      </c>
    </row>
    <row r="31" spans="2:8" ht="27.75" customHeight="1" x14ac:dyDescent="0.3">
      <c r="B31" s="24" t="s">
        <v>42</v>
      </c>
      <c r="C31" s="25" t="s">
        <v>19</v>
      </c>
      <c r="D31" s="25">
        <v>1</v>
      </c>
      <c r="E31" s="26">
        <v>46173</v>
      </c>
      <c r="F31" s="26">
        <v>46178</v>
      </c>
      <c r="G31" s="27">
        <f>SUM(G32:G34)</f>
        <v>390000</v>
      </c>
      <c r="H31" s="25">
        <f t="shared" si="4"/>
        <v>6</v>
      </c>
    </row>
    <row r="32" spans="2:8" ht="21.75" customHeight="1" x14ac:dyDescent="0.3">
      <c r="B32" s="28" t="s">
        <v>43</v>
      </c>
      <c r="C32" s="29" t="s">
        <v>19</v>
      </c>
      <c r="D32" s="29">
        <v>1</v>
      </c>
      <c r="E32" s="30">
        <v>46173</v>
      </c>
      <c r="F32" s="30">
        <v>46175</v>
      </c>
      <c r="G32" s="31">
        <v>120000</v>
      </c>
      <c r="H32" s="29">
        <f t="shared" si="4"/>
        <v>3</v>
      </c>
    </row>
    <row r="33" spans="1:64" ht="21.75" customHeight="1" x14ac:dyDescent="0.3">
      <c r="B33" s="32" t="s">
        <v>44</v>
      </c>
      <c r="C33" s="33" t="s">
        <v>19</v>
      </c>
      <c r="D33" s="33">
        <v>1</v>
      </c>
      <c r="E33" s="34">
        <v>46175</v>
      </c>
      <c r="F33" s="34">
        <v>46176</v>
      </c>
      <c r="G33" s="35">
        <v>150000</v>
      </c>
      <c r="H33" s="33">
        <f t="shared" si="4"/>
        <v>2</v>
      </c>
    </row>
    <row r="34" spans="1:64" ht="21.75" customHeight="1" x14ac:dyDescent="0.3">
      <c r="B34" s="28" t="s">
        <v>45</v>
      </c>
      <c r="C34" s="29" t="s">
        <v>19</v>
      </c>
      <c r="D34" s="29">
        <v>1</v>
      </c>
      <c r="E34" s="30">
        <v>46176</v>
      </c>
      <c r="F34" s="30">
        <v>46178</v>
      </c>
      <c r="G34" s="31">
        <v>120000</v>
      </c>
      <c r="H34" s="29">
        <f t="shared" si="4"/>
        <v>3</v>
      </c>
    </row>
    <row r="35" spans="1:64" ht="27.75" customHeight="1" x14ac:dyDescent="0.3">
      <c r="B35" s="24" t="s">
        <v>46</v>
      </c>
      <c r="C35" s="25" t="s">
        <v>19</v>
      </c>
      <c r="D35" s="25">
        <v>1</v>
      </c>
      <c r="E35" s="26">
        <v>46179</v>
      </c>
      <c r="F35" s="26">
        <v>46183</v>
      </c>
      <c r="G35" s="27">
        <f>SUM(G36:G37)</f>
        <v>360000</v>
      </c>
      <c r="H35" s="25">
        <f t="shared" si="4"/>
        <v>5</v>
      </c>
    </row>
    <row r="36" spans="1:64" ht="21.75" customHeight="1" x14ac:dyDescent="0.3">
      <c r="B36" s="28" t="s">
        <v>47</v>
      </c>
      <c r="C36" s="29" t="s">
        <v>19</v>
      </c>
      <c r="D36" s="29">
        <v>1</v>
      </c>
      <c r="E36" s="30">
        <v>46179</v>
      </c>
      <c r="F36" s="30">
        <v>46181</v>
      </c>
      <c r="G36" s="35">
        <v>180000</v>
      </c>
      <c r="H36" s="29">
        <f t="shared" si="4"/>
        <v>3</v>
      </c>
    </row>
    <row r="37" spans="1:64" ht="21.75" customHeight="1" x14ac:dyDescent="0.3">
      <c r="B37" s="32" t="s">
        <v>48</v>
      </c>
      <c r="C37" s="33" t="s">
        <v>19</v>
      </c>
      <c r="D37" s="33">
        <v>1</v>
      </c>
      <c r="E37" s="34">
        <v>46181</v>
      </c>
      <c r="F37" s="34">
        <v>46183</v>
      </c>
      <c r="G37" s="31">
        <v>180000</v>
      </c>
      <c r="H37" s="33">
        <f t="shared" si="4"/>
        <v>3</v>
      </c>
    </row>
    <row r="38" spans="1:64" ht="27.75" customHeight="1" x14ac:dyDescent="0.3">
      <c r="B38" s="24" t="s">
        <v>49</v>
      </c>
      <c r="C38" s="25" t="s">
        <v>19</v>
      </c>
      <c r="D38" s="25">
        <v>1</v>
      </c>
      <c r="E38" s="26">
        <v>46184</v>
      </c>
      <c r="F38" s="26">
        <v>46190</v>
      </c>
      <c r="G38" s="27">
        <f>SUM(G39:G42)</f>
        <v>780000</v>
      </c>
      <c r="H38" s="25">
        <f t="shared" si="4"/>
        <v>7</v>
      </c>
    </row>
    <row r="39" spans="1:64" ht="21.75" customHeight="1" x14ac:dyDescent="0.3">
      <c r="B39" s="28" t="s">
        <v>50</v>
      </c>
      <c r="C39" s="29" t="s">
        <v>19</v>
      </c>
      <c r="D39" s="29">
        <v>1</v>
      </c>
      <c r="E39" s="30">
        <v>46184</v>
      </c>
      <c r="F39" s="30">
        <v>46186</v>
      </c>
      <c r="G39" s="35">
        <v>180000</v>
      </c>
      <c r="H39" s="29">
        <f t="shared" si="4"/>
        <v>3</v>
      </c>
    </row>
    <row r="40" spans="1:64" ht="21.75" customHeight="1" x14ac:dyDescent="0.3">
      <c r="B40" s="32" t="s">
        <v>51</v>
      </c>
      <c r="C40" s="33" t="s">
        <v>19</v>
      </c>
      <c r="D40" s="33">
        <v>1</v>
      </c>
      <c r="E40" s="34">
        <v>46186</v>
      </c>
      <c r="F40" s="34">
        <v>46187</v>
      </c>
      <c r="G40" s="31">
        <v>135000</v>
      </c>
      <c r="H40" s="33">
        <f t="shared" si="4"/>
        <v>2</v>
      </c>
    </row>
    <row r="41" spans="1:64" ht="21.75" customHeight="1" x14ac:dyDescent="0.3">
      <c r="B41" s="28" t="s">
        <v>52</v>
      </c>
      <c r="C41" s="29" t="s">
        <v>19</v>
      </c>
      <c r="D41" s="29">
        <v>1</v>
      </c>
      <c r="E41" s="30">
        <v>46187</v>
      </c>
      <c r="F41" s="30">
        <v>46188</v>
      </c>
      <c r="G41" s="35">
        <v>240000</v>
      </c>
      <c r="H41" s="29">
        <f t="shared" si="4"/>
        <v>2</v>
      </c>
    </row>
    <row r="42" spans="1:64" ht="21.75" customHeight="1" x14ac:dyDescent="0.3">
      <c r="B42" s="32" t="s">
        <v>53</v>
      </c>
      <c r="C42" s="33" t="s">
        <v>19</v>
      </c>
      <c r="D42" s="33">
        <v>1</v>
      </c>
      <c r="E42" s="34">
        <v>46188</v>
      </c>
      <c r="F42" s="34">
        <v>46190</v>
      </c>
      <c r="G42" s="31">
        <v>225000</v>
      </c>
      <c r="H42" s="33">
        <f t="shared" si="4"/>
        <v>3</v>
      </c>
    </row>
    <row r="43" spans="1:64" ht="27.75" customHeight="1" x14ac:dyDescent="0.3">
      <c r="B43" s="24" t="s">
        <v>54</v>
      </c>
      <c r="C43" s="25" t="s">
        <v>19</v>
      </c>
      <c r="D43" s="25">
        <v>1</v>
      </c>
      <c r="E43" s="26">
        <v>46191</v>
      </c>
      <c r="F43" s="26">
        <v>46194</v>
      </c>
      <c r="G43" s="27">
        <f>SUM(G44:G46)</f>
        <v>480000</v>
      </c>
      <c r="H43" s="25">
        <f t="shared" si="4"/>
        <v>4</v>
      </c>
    </row>
    <row r="44" spans="1:64" ht="21.75" customHeight="1" x14ac:dyDescent="0.3">
      <c r="B44" s="28" t="s">
        <v>55</v>
      </c>
      <c r="C44" s="29" t="s">
        <v>19</v>
      </c>
      <c r="D44" s="29">
        <v>1</v>
      </c>
      <c r="E44" s="30">
        <v>46191</v>
      </c>
      <c r="F44" s="30">
        <v>46192</v>
      </c>
      <c r="G44" s="35">
        <v>270000</v>
      </c>
      <c r="H44" s="29">
        <f t="shared" si="4"/>
        <v>2</v>
      </c>
    </row>
    <row r="45" spans="1:64" ht="21.75" customHeight="1" x14ac:dyDescent="0.3">
      <c r="B45" s="32" t="s">
        <v>56</v>
      </c>
      <c r="C45" s="33" t="s">
        <v>19</v>
      </c>
      <c r="D45" s="33">
        <v>1</v>
      </c>
      <c r="E45" s="34">
        <v>46192</v>
      </c>
      <c r="F45" s="34">
        <v>46193</v>
      </c>
      <c r="G45" s="31">
        <v>150000</v>
      </c>
      <c r="H45" s="33">
        <f t="shared" si="4"/>
        <v>2</v>
      </c>
    </row>
    <row r="46" spans="1:64" ht="21.75" customHeight="1" x14ac:dyDescent="0.3">
      <c r="B46" s="28" t="s">
        <v>57</v>
      </c>
      <c r="C46" s="29" t="s">
        <v>19</v>
      </c>
      <c r="D46" s="29">
        <v>1</v>
      </c>
      <c r="E46" s="30">
        <v>46193</v>
      </c>
      <c r="F46" s="30">
        <v>46194</v>
      </c>
      <c r="G46" s="35">
        <v>60000</v>
      </c>
      <c r="H46" s="29">
        <f t="shared" si="4"/>
        <v>2</v>
      </c>
    </row>
    <row r="47" spans="1:64" ht="24" customHeight="1" x14ac:dyDescent="0.3">
      <c r="A47" s="3" t="s">
        <v>58</v>
      </c>
      <c r="B47" s="45" t="s">
        <v>59</v>
      </c>
      <c r="C47" s="45"/>
      <c r="D47" s="45"/>
      <c r="E47" s="45"/>
      <c r="F47" s="45"/>
      <c r="G47" s="37">
        <f>SUM(G8:G46)</f>
        <v>10740000</v>
      </c>
      <c r="H47" s="38"/>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row>
    <row r="48" spans="1:64" x14ac:dyDescent="0.3">
      <c r="G48" s="40"/>
    </row>
    <row r="49" spans="3:6" x14ac:dyDescent="0.3">
      <c r="C49" s="41"/>
      <c r="F49" s="42"/>
    </row>
    <row r="50" spans="3:6" x14ac:dyDescent="0.3">
      <c r="C50" s="43"/>
    </row>
  </sheetData>
  <mergeCells count="12">
    <mergeCell ref="C3:D3"/>
    <mergeCell ref="E3:F3"/>
    <mergeCell ref="C4:D4"/>
    <mergeCell ref="I4:O4"/>
    <mergeCell ref="P4:V4"/>
    <mergeCell ref="BF4:BL4"/>
    <mergeCell ref="B47:F47"/>
    <mergeCell ref="W4:AC4"/>
    <mergeCell ref="AD4:AJ4"/>
    <mergeCell ref="AK4:AQ4"/>
    <mergeCell ref="AR4:AX4"/>
    <mergeCell ref="AY4:BE4"/>
  </mergeCells>
  <conditionalFormatting sqref="D7:D46">
    <cfRule type="dataBar" priority="2">
      <dataBar>
        <cfvo type="num" val="0"/>
        <cfvo type="num" val="1"/>
        <color rgb="FFBFBFBF"/>
      </dataBar>
      <extLst>
        <ext xmlns:x14="http://schemas.microsoft.com/office/spreadsheetml/2009/9/main" uri="{B025F937-C7B1-47D3-B67F-A62EFF666E3E}">
          <x14:id>{A8338F28-D984-45FA-AD45-70926213C25B}</x14:id>
        </ext>
      </extLst>
    </cfRule>
  </conditionalFormatting>
  <conditionalFormatting sqref="I22">
    <cfRule type="expression" dxfId="5" priority="7">
      <formula>AND(TODAY()&gt;=J$5,TODAY()&lt;K$5)</formula>
    </cfRule>
    <cfRule type="expression" dxfId="4" priority="10">
      <formula>AND(task_start&lt;=J$5,ROUNDDOWN((task_end-task_start+1)*task_progress,0)+task_start-1&gt;=J$5)</formula>
    </cfRule>
    <cfRule type="expression" dxfId="3" priority="11">
      <formula>AND(task_end&gt;=J$5,task_start&lt;K$5)</formula>
    </cfRule>
  </conditionalFormatting>
  <conditionalFormatting sqref="I5:BL21 K22:BL22 I23:BL46">
    <cfRule type="expression" dxfId="2" priority="5">
      <formula>AND(TODAY()&gt;=I$5,TODAY()&lt;J$5)</formula>
    </cfRule>
  </conditionalFormatting>
  <conditionalFormatting sqref="I7:BL21 K22:BL22 I23:BL46">
    <cfRule type="expression" dxfId="1" priority="3">
      <formula>AND(task_start&lt;=I$5,ROUNDDOWN((task_end-task_start+1)*task_progress,0)+task_start-1&gt;=I$5)</formula>
    </cfRule>
    <cfRule type="expression" dxfId="0" priority="4">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formula2>0</formula2>
    </dataValidation>
  </dataValidations>
  <printOptions horizontalCentered="1"/>
  <pageMargins left="0.35" right="0.35" top="0.35" bottom="0.34722222222222199" header="0.511811023622047" footer="0.511811023622047"/>
  <pageSetup paperSize="9"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8338F28-D984-45FA-AD45-70926213C25B}">
            <x14:dataBar axisPosition="none">
              <x14:cfvo type="num">
                <xm:f>0</xm:f>
              </x14:cfvo>
              <x14:cfvo type="num">
                <xm:f>1</xm:f>
              </x14:cfvo>
              <x14:negativeFillColor rgb="FFBFBFBF"/>
            </x14:dataBar>
          </x14:cfRule>
          <xm:sqref>D7:D46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Xero Dono</cp:lastModifiedBy>
  <cp:revision>0</cp:revision>
  <dcterms:created xsi:type="dcterms:W3CDTF">2021-12-14T20:18:50Z</dcterms:created>
  <dcterms:modified xsi:type="dcterms:W3CDTF">2026-07-10T09:58:34Z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