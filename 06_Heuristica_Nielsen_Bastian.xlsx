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ntregables Desarollo Software FINALES\"/>
    </mc:Choice>
  </mc:AlternateContent>
  <xr:revisionPtr revIDLastSave="0" documentId="13_ncr:1_{11D2F134-0A39-4BF5-A013-32FB3E1933D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strucciones" sheetId="1" r:id="rId1"/>
    <sheet name="Evaluacion" sheetId="2" r:id="rId2"/>
    <sheet name="Resumen" sheetId="3" r:id="rId3"/>
    <sheet name="Referenc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D22" i="3"/>
  <c r="C22" i="3"/>
  <c r="E21" i="3"/>
  <c r="D21" i="3"/>
  <c r="C21" i="3"/>
  <c r="E20" i="3"/>
  <c r="D20" i="3"/>
  <c r="C20" i="3"/>
  <c r="E19" i="3"/>
  <c r="D19" i="3"/>
  <c r="C19" i="3"/>
  <c r="F19" i="3" s="1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C9" i="3"/>
  <c r="C8" i="3"/>
  <c r="C7" i="3"/>
  <c r="C6" i="3"/>
  <c r="C5" i="3"/>
  <c r="G16" i="3" l="1"/>
  <c r="F14" i="3"/>
  <c r="G22" i="3"/>
  <c r="G21" i="3"/>
  <c r="G20" i="3"/>
  <c r="G18" i="3"/>
  <c r="G17" i="3"/>
  <c r="G15" i="3"/>
  <c r="G13" i="3"/>
  <c r="F17" i="3"/>
  <c r="F16" i="3"/>
  <c r="G14" i="3"/>
  <c r="F21" i="3"/>
  <c r="F13" i="3"/>
  <c r="F18" i="3"/>
  <c r="F20" i="3"/>
  <c r="F15" i="3"/>
  <c r="G19" i="3"/>
  <c r="F22" i="3"/>
</calcChain>
</file>

<file path=xl/sharedStrings.xml><?xml version="1.0" encoding="utf-8"?>
<sst xmlns="http://schemas.openxmlformats.org/spreadsheetml/2006/main" count="203" uniqueCount="157">
  <si>
    <t>EVALUACION HEURISTICA DE USABILIDAD - NIELSEN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</si>
  <si>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</si>
  <si>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</si>
  <si>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</si>
  <si>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</si>
  <si>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</si>
  <si>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</si>
  <si>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</si>
  <si>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</si>
  <si>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</si>
  <si>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</si>
  <si>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</si>
  <si>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</si>
  <si>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2</t>
  </si>
  <si>
    <t>3</t>
  </si>
  <si>
    <t>4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</si>
  <si>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</si>
  <si>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</si>
  <si>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</si>
  <si>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</si>
  <si>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</si>
  <si>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</si>
  <si>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</si>
  <si>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</si>
  <si>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</si>
  <si>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</si>
  <si>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</si>
  <si>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</si>
  <si>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</si>
  <si>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</si>
  <si>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</si>
  <si>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</si>
  <si>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</si>
  <si>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</si>
  <si>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</si>
  <si>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</si>
  <si>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</si>
  <si>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</si>
  <si>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</si>
  <si>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</si>
  <si>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H2 - Sistema y mundo real</t>
  </si>
  <si>
    <t>H3 - Control y libertad</t>
  </si>
  <si>
    <t>H4 - Consistencia y estandares</t>
  </si>
  <si>
    <t>H5 - Prevencion de errores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</si>
  <si>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</si>
  <si>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</si>
  <si>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</si>
  <si>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</si>
  <si>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</si>
  <si>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</si>
  <si>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</si>
  <si>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</si>
  <si>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</si>
  <si>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</si>
  <si>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</si>
  <si>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</si>
  <si>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</si>
  <si>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</si>
  <si>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</si>
  <si>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</si>
  <si>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</si>
  <si>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</si>
  <si>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</si>
  <si>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</si>
  <si>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</si>
  <si>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</si>
  <si>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</si>
  <si>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</si>
  <si>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</si>
  <si>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</si>
  <si>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</si>
  <si>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</si>
  <si>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</si>
  <si>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</si>
  <si>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</si>
  <si>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</si>
  <si>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</si>
  <si>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</si>
  <si>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</si>
  <si>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</si>
  <si>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</si>
  <si>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</si>
  <si>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</si>
  <si>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</si>
  <si>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</si>
  <si>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</si>
  <si>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</si>
  <si>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</si>
  <si>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</si>
  <si>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</si>
  <si>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</si>
  <si>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</si>
  <si>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</si>
  <si>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</si>
  <si>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</si>
  <si>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</si>
  <si>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</si>
  <si>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</si>
  <si>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</si>
  <si>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</si>
  <si>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</si>
  <si>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</si>
  <si>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</si>
  <si>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</si>
  <si>
    <t>Ingenieria de Software - Calidad y Pruebas - Plantilla de Evaluacion</t>
  </si>
  <si>
    <t>Problema cosmético | corregir solo si hay tiempo</t>
  </si>
  <si>
    <t>Problema menor | baja prioridad de correccion</t>
  </si>
  <si>
    <t>Problema mayor  | alta prioridad, dificulta el uso</t>
  </si>
  <si>
    <t>CATASTROFICO | imperativo corregir antes del lanzamiento</t>
  </si>
  <si>
    <t>RESUMEN EJECUTIVO  EVALUACION HEURISTICA</t>
  </si>
  <si>
    <t>Bastián González</t>
  </si>
  <si>
    <t>El botón "Generar reporte" no muestra ningún indicador de carga o progreso mientras procesa</t>
  </si>
  <si>
    <t>05_Filtros_Reporte - Botón "Generar reporte (12)"</t>
  </si>
  <si>
    <t>https://drive.google.com/drive/folders/1eeM5h0WIHc147EO5JgNg5sCyIfsBQaA-</t>
  </si>
  <si>
    <t>Agregar spinner o barra de progreso visible al momento de procesar el reporte</t>
  </si>
  <si>
    <t>La pantalla de login no indica si el sistema está procesando las credenciales tras presionar "Ingresar al sistema"</t>
  </si>
  <si>
    <t>01_Login - Botón "Ingresar al sistema"</t>
  </si>
  <si>
    <t>Deshabilitar botón y mostrar spinner mientras se validan credenciales</t>
  </si>
  <si>
    <t>El campo "Desde (AAAA-MM)" usa formato técnico no familiar para usuarios administrativos no técnicos</t>
  </si>
  <si>
    <t>05_Filtros_Reporte - Campo período</t>
  </si>
  <si>
    <t>Reemplazar campo de texto por selector de mes/año con calendario visual</t>
  </si>
  <si>
    <t>La etiqueta "monto-desc" en el campo Ordenamiento es un valor interno del sistema expuesto al usuario</t>
  </si>
  <si>
    <t>05_Filtros_Reporte - Campo "Ordenar por"</t>
  </si>
  <si>
    <t>Reemplazar "monto-desc" por "Mayor monto adeudado primero" u opciones en lenguaje natural</t>
  </si>
  <si>
    <t>No existe botón "Cancelar" ni "Volver" dentro del modal de exportación, solo "Cancelar" como texto sin estilo diferenciado</t>
  </si>
  <si>
    <t>07_Modal_Exportación - Modal exportar reporte</t>
  </si>
  <si>
    <t>Agregar botón "Cancelar" con estilo secundario claramente diferenciado del botón principal</t>
  </si>
  <si>
    <t>El modal de confirmación de exportación (08) solo tiene botón "Cerrar", no permite abrir el archivo descargado ni ver el historial de exportaciones</t>
  </si>
  <si>
    <t>08_Confirmacion_Exportación - Modal confirmación</t>
  </si>
  <si>
    <t>Agregar enlace "Abrir archivo" o "Ver historial de exportaciones" en la confirmación</t>
  </si>
  <si>
    <t>El módulo de Morosidad tiene botón "Generar reporte" (verde) en la vista de lista, pero en el Módulo de Reportes el mismo flujo se inicia con "Configurar filtros &gt;" como enlace de texto</t>
  </si>
  <si>
    <t>03_Módulo_Morosidad y 04_Módulo_Reportes</t>
  </si>
  <si>
    <t>Unificar el componente de acceso al RF-24 en ambas pantallas usando el mismo tipo de control</t>
  </si>
  <si>
    <t>El campo "Monto mínimo adeudado (CLP)" acepta el valor 0 por defecto sin validación visible, lo que podría generar reportes sin filtrado efectivo</t>
  </si>
  <si>
    <t>05_Filtros_Reporte - Campo monto mínimo</t>
  </si>
  <si>
    <t>Agregar placeholder con valor sugerido y validación que informe si el valor ingresado afecta los resultados</t>
  </si>
  <si>
    <t>El sistema permite presionar "Ingresar al sistema" con el campo contraseña vacío sin mostrar validación previa</t>
  </si>
  <si>
    <t>01_Login - Campo contraseña vacío</t>
  </si>
  <si>
    <t>Deshabilitar botón "Ingresar al sistema" si algún campo obligatorio está vacío</t>
  </si>
  <si>
    <t>Los filtros de la pantalla RF-24 no conservan los valores configurados al regresar desde los resultados con el botón "Volver"</t>
  </si>
  <si>
    <t>05_Filtros_Reporte y 06_Resultado_tabla_reporte</t>
  </si>
  <si>
    <t>Mantener los filtros seleccionados en sesión activa al navegar hacia atrás desde los resultados</t>
  </si>
  <si>
    <t>La tabla de resultados (06) no muestra breadcrumb que indique qué filtros fueron aplicados para generar ese reporte</t>
  </si>
  <si>
    <t>06_Resultado_tabla_reporte - Encabezado</t>
  </si>
  <si>
    <t>Agregar resumen de filtros aplicados sobre el título "Resultados del reporte"</t>
  </si>
  <si>
    <t>El Dashboard muestra simultáneamente 4 KPIs, gráfico de tendencia, acciones rápidas, estado de morosidad y tabla de pagos recientes en una sola vista sin jerarquía visual clara</t>
  </si>
  <si>
    <t>02_Dashboard - Vista completa</t>
  </si>
  <si>
    <t>Priorizar visualmente los KPIs críticos (deudores morosos y deuda total) con mayor tamaño o contraste</t>
  </si>
  <si>
    <t>El sistema no muestra mensaje específico si la exportación falla — solo existe la confirmación de éxito (08), sin pantalla de error equivalente</t>
  </si>
  <si>
    <t>07_Modal_Exportación - Flujo de error no representado</t>
  </si>
  <si>
    <t>Diseñar pantalla de error de exportación con causa específica y botón "Reintentar"</t>
  </si>
  <si>
    <t>No existe representación de qué ocurre si el login falla por credenciales incorrectas — no hay pantalla de error de autenticación en el prototipo</t>
  </si>
  <si>
    <t>01_Login - Flujo credenciales incorrectas</t>
  </si>
  <si>
    <t>Agregar estado de error en el formulario de login con mensaje "Correo o contraseña incorrectos" bajo los campos</t>
  </si>
  <si>
    <t>Los campos de filtro avanzado del RF-24 (monto mínimo, ordenamiento) no tienen tooltips ni texto de ayuda contextual</t>
  </si>
  <si>
    <t>05_Filtros_Reporte - Campos avanzados</t>
  </si>
  <si>
    <t>Agregar ícono de ayuda (?) con tooltip explicativo en cada campo de filtro 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</si>
</sst>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C2C2A"/>
      <name val="Arial"/>
      <family val="2"/>
    </font>
    <font>
      <b/>
      <sz val="10"/>
      <color rgb="FF5F5E5A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F5E5A"/>
      </patternFill>
    </fill>
    <fill>
      <patternFill patternType="solid">
        <fgColor rgb="FFF8F8F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8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5" fillId="0" borderId="0" xfId="0" applyFont="1"/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3" fillId="4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8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/>
    <xf numFmtId="0" fontId="16" fillId="3" borderId="1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8">
    <dxf>
      <font>
        <color rgb="FF27500A"/>
        <name val="Arial"/>
      </font>
      <fill>
        <patternFill>
          <bgColor rgb="FFEAF3DE"/>
        </patternFill>
      </fill>
    </dxf>
    <dxf>
      <font>
        <b/>
        <color rgb="FF633806"/>
        <name val="Arial"/>
      </font>
      <fill>
        <patternFill>
          <bgColor rgb="FFFAEEDA"/>
        </patternFill>
      </fill>
    </dxf>
    <dxf>
      <font>
        <b/>
        <color rgb="FF791F1F"/>
        <name val="Arial"/>
      </font>
      <fill>
        <patternFill>
          <bgColor rgb="FFFCEBEB"/>
        </patternFill>
      </fill>
    </dxf>
    <dxf>
      <font>
        <b/>
        <sz val="13"/>
        <color rgb="FF791F1F"/>
        <name val="Arial"/>
      </font>
      <fill>
        <patternFill>
          <bgColor rgb="FFFCEBEB"/>
        </patternFill>
      </fill>
    </dxf>
    <dxf>
      <font>
        <b/>
        <sz val="13"/>
        <color rgb="FF8B4000"/>
        <name val="Arial"/>
      </font>
      <fill>
        <patternFill>
          <bgColor rgb="FFFCEBD0"/>
        </patternFill>
      </fill>
    </dxf>
    <dxf>
      <font>
        <b/>
        <sz val="13"/>
        <color rgb="FF633806"/>
        <name val="Arial"/>
      </font>
      <fill>
        <patternFill>
          <bgColor rgb="FFFAEEDA"/>
        </patternFill>
      </fill>
    </dxf>
    <dxf>
      <font>
        <b/>
        <sz val="13"/>
        <color rgb="FF633806"/>
        <name val="Arial"/>
      </font>
      <fill>
        <patternFill>
          <bgColor rgb="FFFFF9F0"/>
        </patternFill>
      </fill>
    </dxf>
    <dxf>
      <font>
        <b/>
        <sz val="13"/>
        <color rgb="FF5F5E5A"/>
        <name val="Arial"/>
      </font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eeM5h0WIHc147EO5JgNg5sCyIfsBQaA-" TargetMode="External"/><Relationship Id="rId2" Type="http://schemas.openxmlformats.org/officeDocument/2006/relationships/hyperlink" Target="https://drive.google.com/drive/folders/1eeM5h0WIHc147EO5JgNg5sCyIfsBQaA-" TargetMode="External"/><Relationship Id="rId1" Type="http://schemas.openxmlformats.org/officeDocument/2006/relationships/hyperlink" Target="https://drive.google.com/drive/folders/1eeM5h0WIHc147EO5JgNg5sCyIfsBQaA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zoomScale="140" zoomScaleNormal="140" workbookViewId="0">
      <selection activeCell="B8" sqref="B8:E8"/>
    </sheetView>
  </sheetViews>
  <sheetFormatPr baseColWidth="10" defaultColWidth="8.85546875" defaultRowHeight="15" x14ac:dyDescent="0.25"/>
  <cols>
    <col min="1" max="1" width="2" customWidth="1"/>
    <col min="2" max="2" width="22" customWidth="1"/>
    <col min="3" max="3" width="50" customWidth="1"/>
    <col min="4" max="4" width="22" customWidth="1"/>
    <col min="5" max="5" width="18" customWidth="1"/>
  </cols>
  <sheetData>
    <row r="2" spans="2:5" ht="39.950000000000003" customHeight="1" x14ac:dyDescent="0.25">
      <c r="B2" s="31" t="s">
        <v>0</v>
      </c>
      <c r="C2" s="23"/>
      <c r="D2" s="23"/>
      <c r="E2" s="23"/>
    </row>
    <row r="3" spans="2:5" ht="21.95" customHeight="1" x14ac:dyDescent="0.25">
      <c r="B3" s="33" t="s">
        <v>104</v>
      </c>
      <c r="C3" s="23"/>
      <c r="D3" s="23"/>
      <c r="E3" s="23"/>
    </row>
    <row r="5" spans="2:5" ht="18" customHeight="1" x14ac:dyDescent="0.25">
      <c r="B5" s="35" t="s">
        <v>1</v>
      </c>
      <c r="C5" s="36"/>
      <c r="D5" s="36"/>
      <c r="E5" s="36"/>
    </row>
    <row r="6" spans="2:5" ht="18" customHeight="1" x14ac:dyDescent="0.25">
      <c r="B6" s="32" t="s">
        <v>2</v>
      </c>
      <c r="C6" s="27"/>
      <c r="D6" s="27"/>
      <c r="E6" s="27"/>
    </row>
    <row r="7" spans="2:5" ht="18" customHeight="1" x14ac:dyDescent="0.25">
      <c r="B7" s="32" t="s">
        <v>3</v>
      </c>
      <c r="C7" s="27"/>
      <c r="D7" s="27"/>
      <c r="E7" s="27"/>
    </row>
    <row r="8" spans="2:5" ht="18" customHeight="1" x14ac:dyDescent="0.25">
      <c r="B8" s="32" t="s">
        <v>4</v>
      </c>
      <c r="C8" s="27"/>
      <c r="D8" s="27"/>
      <c r="E8" s="27"/>
    </row>
    <row r="9" spans="2:5" ht="18" customHeight="1" x14ac:dyDescent="0.25">
      <c r="B9" s="32" t="s">
        <v>5</v>
      </c>
      <c r="C9" s="27"/>
      <c r="D9" s="27"/>
      <c r="E9" s="27"/>
    </row>
    <row r="10" spans="2:5" ht="18" customHeight="1" x14ac:dyDescent="0.25">
      <c r="B10" s="32" t="s">
        <v>6</v>
      </c>
      <c r="C10" s="27"/>
      <c r="D10" s="27"/>
      <c r="E10" s="27"/>
    </row>
    <row r="11" spans="2:5" ht="18" customHeight="1" x14ac:dyDescent="0.25">
      <c r="B11" s="32" t="s">
        <v>7</v>
      </c>
      <c r="C11" s="27"/>
      <c r="D11" s="27"/>
      <c r="E11" s="27"/>
    </row>
    <row r="12" spans="2:5" ht="18" customHeight="1" x14ac:dyDescent="0.25">
      <c r="B12" s="32" t="s">
        <v>8</v>
      </c>
      <c r="C12" s="27"/>
      <c r="D12" s="27"/>
      <c r="E12" s="27"/>
    </row>
    <row r="15" spans="2:5" ht="18" customHeight="1" x14ac:dyDescent="0.25">
      <c r="B15" s="34" t="s">
        <v>9</v>
      </c>
      <c r="C15" s="27"/>
      <c r="D15" s="27"/>
      <c r="E15" s="27"/>
    </row>
    <row r="16" spans="2:5" ht="18" customHeight="1" x14ac:dyDescent="0.25">
      <c r="B16" s="7" t="s">
        <v>10</v>
      </c>
      <c r="C16" s="32" t="s">
        <v>11</v>
      </c>
      <c r="D16" s="27"/>
      <c r="E16" s="27"/>
    </row>
    <row r="17" spans="2:5" ht="18" customHeight="1" x14ac:dyDescent="0.25">
      <c r="B17" s="7" t="s">
        <v>12</v>
      </c>
      <c r="C17" s="32" t="s">
        <v>105</v>
      </c>
      <c r="D17" s="27"/>
      <c r="E17" s="27"/>
    </row>
    <row r="18" spans="2:5" ht="18" customHeight="1" x14ac:dyDescent="0.25">
      <c r="B18" s="7" t="s">
        <v>13</v>
      </c>
      <c r="C18" s="32" t="s">
        <v>106</v>
      </c>
      <c r="D18" s="27"/>
      <c r="E18" s="27"/>
    </row>
    <row r="19" spans="2:5" ht="18" customHeight="1" x14ac:dyDescent="0.25">
      <c r="B19" s="7" t="s">
        <v>14</v>
      </c>
      <c r="C19" s="32" t="s">
        <v>107</v>
      </c>
      <c r="D19" s="27"/>
      <c r="E19" s="27"/>
    </row>
    <row r="20" spans="2:5" ht="18" customHeight="1" x14ac:dyDescent="0.25">
      <c r="B20" s="7" t="s">
        <v>15</v>
      </c>
      <c r="C20" s="32" t="s">
        <v>108</v>
      </c>
      <c r="D20" s="27"/>
      <c r="E20" s="27"/>
    </row>
  </sheetData>
  <mergeCells count="16">
    <mergeCell ref="C20:E20"/>
    <mergeCell ref="B9:E9"/>
    <mergeCell ref="B15:E15"/>
    <mergeCell ref="C16:E16"/>
    <mergeCell ref="B5:E5"/>
    <mergeCell ref="B2:E2"/>
    <mergeCell ref="C19:E19"/>
    <mergeCell ref="B6:E6"/>
    <mergeCell ref="B12:E12"/>
    <mergeCell ref="B8:E8"/>
    <mergeCell ref="C18:E18"/>
    <mergeCell ref="B3:E3"/>
    <mergeCell ref="B11:E11"/>
    <mergeCell ref="B7:E7"/>
    <mergeCell ref="C17:E17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tabSelected="1" workbookViewId="0">
      <pane ySplit="3" topLeftCell="A9" activePane="bottomLeft" state="frozen"/>
      <selection pane="bottomLeft" activeCell="H18" sqref="H18"/>
    </sheetView>
  </sheetViews>
  <sheetFormatPr baseColWidth="10" defaultColWidth="8.85546875" defaultRowHeight="15" x14ac:dyDescent="0.25"/>
  <cols>
    <col min="1" max="1" width="5" customWidth="1"/>
    <col min="2" max="2" width="16" customWidth="1"/>
    <col min="3" max="3" width="32" customWidth="1"/>
    <col min="4" max="4" width="28" customWidth="1"/>
    <col min="5" max="5" width="12" customWidth="1"/>
    <col min="6" max="6" width="26" customWidth="1"/>
    <col min="7" max="7" width="30" customWidth="1"/>
    <col min="8" max="8" width="16" customWidth="1"/>
  </cols>
  <sheetData>
    <row r="1" spans="1:10" ht="32.1" customHeight="1" x14ac:dyDescent="0.25">
      <c r="A1" s="22" t="s">
        <v>16</v>
      </c>
      <c r="B1" s="23"/>
      <c r="C1" s="23"/>
      <c r="D1" s="23"/>
      <c r="E1" s="23"/>
      <c r="F1" s="23"/>
      <c r="G1" s="23"/>
      <c r="H1" s="23"/>
    </row>
    <row r="2" spans="1:10" ht="15.95" customHeight="1" x14ac:dyDescent="0.25">
      <c r="A2" s="29" t="s">
        <v>17</v>
      </c>
      <c r="B2" s="23"/>
      <c r="C2" s="23"/>
      <c r="D2" s="23"/>
      <c r="E2" s="23"/>
      <c r="F2" s="23"/>
      <c r="G2" s="23"/>
      <c r="H2" s="23"/>
    </row>
    <row r="3" spans="1:10" ht="32.1" customHeight="1" x14ac:dyDescent="0.25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</row>
    <row r="4" spans="1:10" ht="42" customHeight="1" x14ac:dyDescent="0.25">
      <c r="A4" s="2">
        <v>1</v>
      </c>
      <c r="B4" s="3" t="s">
        <v>39</v>
      </c>
      <c r="C4" s="3" t="s">
        <v>111</v>
      </c>
      <c r="D4" s="3" t="s">
        <v>112</v>
      </c>
      <c r="E4" s="4">
        <v>3</v>
      </c>
      <c r="F4" s="37" t="s">
        <v>113</v>
      </c>
      <c r="G4" s="3" t="s">
        <v>114</v>
      </c>
      <c r="H4" s="3" t="s">
        <v>110</v>
      </c>
    </row>
    <row r="5" spans="1:10" ht="51" x14ac:dyDescent="0.25">
      <c r="A5" s="5">
        <v>2</v>
      </c>
      <c r="B5" s="1" t="s">
        <v>39</v>
      </c>
      <c r="C5" s="1" t="s">
        <v>115</v>
      </c>
      <c r="D5" s="1" t="s">
        <v>116</v>
      </c>
      <c r="E5" s="6">
        <v>2</v>
      </c>
      <c r="F5" s="37" t="s">
        <v>113</v>
      </c>
      <c r="G5" s="1" t="s">
        <v>117</v>
      </c>
      <c r="H5" s="3" t="s">
        <v>110</v>
      </c>
    </row>
    <row r="6" spans="1:10" ht="42" customHeight="1" x14ac:dyDescent="0.25">
      <c r="A6" s="2">
        <v>3</v>
      </c>
      <c r="B6" s="1" t="s">
        <v>40</v>
      </c>
      <c r="C6" s="3" t="s">
        <v>118</v>
      </c>
      <c r="D6" s="3" t="s">
        <v>119</v>
      </c>
      <c r="E6" s="4">
        <v>2</v>
      </c>
      <c r="F6" s="37" t="s">
        <v>113</v>
      </c>
      <c r="G6" s="3" t="s">
        <v>120</v>
      </c>
      <c r="H6" s="3" t="s">
        <v>110</v>
      </c>
    </row>
    <row r="7" spans="1:10" ht="51" x14ac:dyDescent="0.25">
      <c r="A7" s="5">
        <v>4</v>
      </c>
      <c r="B7" s="1" t="s">
        <v>40</v>
      </c>
      <c r="C7" s="1" t="s">
        <v>121</v>
      </c>
      <c r="D7" s="1" t="s">
        <v>122</v>
      </c>
      <c r="E7" s="6">
        <v>3</v>
      </c>
      <c r="F7" s="37" t="s">
        <v>113</v>
      </c>
      <c r="G7" s="1" t="s">
        <v>123</v>
      </c>
      <c r="H7" s="3" t="s">
        <v>110</v>
      </c>
    </row>
    <row r="8" spans="1:10" ht="51" x14ac:dyDescent="0.25">
      <c r="A8" s="2">
        <v>5</v>
      </c>
      <c r="B8" s="3" t="s">
        <v>41</v>
      </c>
      <c r="C8" s="3" t="s">
        <v>124</v>
      </c>
      <c r="D8" s="3" t="s">
        <v>125</v>
      </c>
      <c r="E8" s="4">
        <v>2</v>
      </c>
      <c r="F8" s="37" t="s">
        <v>113</v>
      </c>
      <c r="G8" s="3" t="s">
        <v>126</v>
      </c>
      <c r="H8" s="3" t="s">
        <v>110</v>
      </c>
    </row>
    <row r="9" spans="1:10" ht="63.75" x14ac:dyDescent="0.25">
      <c r="A9" s="5">
        <v>6</v>
      </c>
      <c r="B9" s="1" t="s">
        <v>41</v>
      </c>
      <c r="C9" s="1" t="s">
        <v>127</v>
      </c>
      <c r="D9" s="1" t="s">
        <v>128</v>
      </c>
      <c r="E9" s="6">
        <v>2</v>
      </c>
      <c r="F9" s="37" t="s">
        <v>113</v>
      </c>
      <c r="G9" s="1" t="s">
        <v>129</v>
      </c>
      <c r="H9" s="3" t="s">
        <v>110</v>
      </c>
      <c r="J9" s="21"/>
    </row>
    <row r="10" spans="1:10" ht="76.5" x14ac:dyDescent="0.25">
      <c r="A10" s="2">
        <v>7</v>
      </c>
      <c r="B10" s="3" t="s">
        <v>42</v>
      </c>
      <c r="C10" s="3" t="s">
        <v>130</v>
      </c>
      <c r="D10" s="3" t="s">
        <v>131</v>
      </c>
      <c r="E10" s="4">
        <v>2</v>
      </c>
      <c r="F10" s="37" t="s">
        <v>113</v>
      </c>
      <c r="G10" s="3" t="s">
        <v>132</v>
      </c>
      <c r="H10" s="3" t="s">
        <v>110</v>
      </c>
    </row>
    <row r="11" spans="1:10" ht="51" x14ac:dyDescent="0.25">
      <c r="A11" s="5">
        <v>8</v>
      </c>
      <c r="B11" s="1" t="s">
        <v>43</v>
      </c>
      <c r="C11" s="1" t="s">
        <v>133</v>
      </c>
      <c r="D11" s="1" t="s">
        <v>134</v>
      </c>
      <c r="E11" s="6">
        <v>2</v>
      </c>
      <c r="F11" s="37" t="s">
        <v>113</v>
      </c>
      <c r="G11" s="1" t="s">
        <v>135</v>
      </c>
      <c r="H11" s="3" t="s">
        <v>110</v>
      </c>
    </row>
    <row r="12" spans="1:10" ht="51" x14ac:dyDescent="0.25">
      <c r="A12" s="2">
        <v>9</v>
      </c>
      <c r="B12" s="3" t="s">
        <v>43</v>
      </c>
      <c r="C12" s="3" t="s">
        <v>136</v>
      </c>
      <c r="D12" s="3" t="s">
        <v>137</v>
      </c>
      <c r="E12" s="4">
        <v>3</v>
      </c>
      <c r="F12" s="37" t="s">
        <v>113</v>
      </c>
      <c r="G12" s="3" t="s">
        <v>138</v>
      </c>
      <c r="H12" s="3" t="s">
        <v>110</v>
      </c>
    </row>
    <row r="13" spans="1:10" ht="51" x14ac:dyDescent="0.25">
      <c r="A13" s="5">
        <v>10</v>
      </c>
      <c r="B13" s="1" t="s">
        <v>44</v>
      </c>
      <c r="C13" s="1" t="s">
        <v>139</v>
      </c>
      <c r="D13" s="1" t="s">
        <v>140</v>
      </c>
      <c r="E13" s="6">
        <v>2</v>
      </c>
      <c r="F13" s="37" t="s">
        <v>113</v>
      </c>
      <c r="G13" s="1" t="s">
        <v>141</v>
      </c>
      <c r="H13" s="3" t="s">
        <v>110</v>
      </c>
    </row>
    <row r="14" spans="1:10" ht="51" x14ac:dyDescent="0.25">
      <c r="A14" s="2">
        <v>11</v>
      </c>
      <c r="B14" s="3" t="s">
        <v>44</v>
      </c>
      <c r="C14" s="3" t="s">
        <v>142</v>
      </c>
      <c r="D14" s="3" t="s">
        <v>143</v>
      </c>
      <c r="E14" s="4">
        <v>1</v>
      </c>
      <c r="F14" s="37" t="s">
        <v>113</v>
      </c>
      <c r="G14" s="3" t="s">
        <v>144</v>
      </c>
      <c r="H14" s="3" t="s">
        <v>110</v>
      </c>
    </row>
    <row r="15" spans="1:10" ht="76.5" x14ac:dyDescent="0.25">
      <c r="A15" s="5">
        <v>12</v>
      </c>
      <c r="B15" s="1" t="s">
        <v>46</v>
      </c>
      <c r="C15" s="1" t="s">
        <v>145</v>
      </c>
      <c r="D15" s="1" t="s">
        <v>146</v>
      </c>
      <c r="E15" s="6">
        <v>2</v>
      </c>
      <c r="F15" s="37" t="s">
        <v>113</v>
      </c>
      <c r="G15" s="1" t="s">
        <v>147</v>
      </c>
      <c r="H15" s="3" t="s">
        <v>110</v>
      </c>
    </row>
    <row r="16" spans="1:10" ht="51" x14ac:dyDescent="0.25">
      <c r="A16" s="2">
        <v>13</v>
      </c>
      <c r="B16" s="3" t="s">
        <v>47</v>
      </c>
      <c r="C16" s="3" t="s">
        <v>148</v>
      </c>
      <c r="D16" s="3" t="s">
        <v>149</v>
      </c>
      <c r="E16" s="4">
        <v>3</v>
      </c>
      <c r="F16" s="37" t="s">
        <v>113</v>
      </c>
      <c r="G16" s="3" t="s">
        <v>150</v>
      </c>
      <c r="H16" s="3" t="s">
        <v>110</v>
      </c>
    </row>
    <row r="17" spans="1:8" ht="63.75" x14ac:dyDescent="0.25">
      <c r="A17" s="5">
        <v>14</v>
      </c>
      <c r="B17" s="1" t="s">
        <v>47</v>
      </c>
      <c r="C17" s="1" t="s">
        <v>151</v>
      </c>
      <c r="D17" s="1" t="s">
        <v>152</v>
      </c>
      <c r="E17" s="6">
        <v>3</v>
      </c>
      <c r="F17" s="37" t="s">
        <v>113</v>
      </c>
      <c r="G17" s="1" t="s">
        <v>153</v>
      </c>
      <c r="H17" s="3" t="s">
        <v>110</v>
      </c>
    </row>
    <row r="18" spans="1:8" ht="51" x14ac:dyDescent="0.25">
      <c r="A18" s="2">
        <v>15</v>
      </c>
      <c r="B18" s="3" t="s">
        <v>48</v>
      </c>
      <c r="C18" s="3" t="s">
        <v>154</v>
      </c>
      <c r="D18" s="3" t="s">
        <v>155</v>
      </c>
      <c r="E18" s="4">
        <v>1</v>
      </c>
      <c r="F18" s="37" t="s">
        <v>113</v>
      </c>
      <c r="G18" s="3" t="s">
        <v>156</v>
      </c>
      <c r="H18" s="3" t="s">
        <v>110</v>
      </c>
    </row>
    <row r="19" spans="1:8" ht="42" customHeight="1" x14ac:dyDescent="0.25">
      <c r="A19" s="5">
        <v>16</v>
      </c>
      <c r="B19" s="1"/>
      <c r="C19" s="1"/>
      <c r="D19" s="1"/>
      <c r="E19" s="6"/>
      <c r="F19" s="1"/>
      <c r="G19" s="1"/>
      <c r="H19" s="1"/>
    </row>
    <row r="20" spans="1:8" ht="42" customHeight="1" x14ac:dyDescent="0.25">
      <c r="A20" s="2">
        <v>17</v>
      </c>
      <c r="B20" s="3"/>
      <c r="C20" s="3"/>
      <c r="D20" s="3"/>
      <c r="E20" s="4"/>
      <c r="F20" s="3"/>
      <c r="G20" s="3"/>
      <c r="H20" s="3"/>
    </row>
    <row r="21" spans="1:8" ht="42" customHeight="1" x14ac:dyDescent="0.25">
      <c r="A21" s="5">
        <v>18</v>
      </c>
      <c r="B21" s="1"/>
      <c r="C21" s="1"/>
      <c r="D21" s="1"/>
      <c r="E21" s="6"/>
      <c r="F21" s="1"/>
      <c r="G21" s="1"/>
      <c r="H21" s="1"/>
    </row>
    <row r="22" spans="1:8" ht="42" customHeight="1" x14ac:dyDescent="0.25">
      <c r="A22" s="2">
        <v>19</v>
      </c>
      <c r="B22" s="3"/>
      <c r="C22" s="3"/>
      <c r="D22" s="3"/>
      <c r="E22" s="4"/>
      <c r="F22" s="3"/>
      <c r="G22" s="3"/>
      <c r="H22" s="3"/>
    </row>
    <row r="23" spans="1:8" ht="42" customHeight="1" x14ac:dyDescent="0.25">
      <c r="A23" s="5">
        <v>20</v>
      </c>
      <c r="B23" s="1"/>
      <c r="C23" s="1"/>
      <c r="D23" s="1"/>
      <c r="E23" s="6"/>
      <c r="F23" s="1"/>
      <c r="G23" s="1"/>
      <c r="H23" s="1"/>
    </row>
    <row r="24" spans="1:8" ht="42" customHeight="1" x14ac:dyDescent="0.25">
      <c r="A24" s="2">
        <v>21</v>
      </c>
      <c r="B24" s="3"/>
      <c r="C24" s="3"/>
      <c r="D24" s="3"/>
      <c r="E24" s="4"/>
      <c r="F24" s="3"/>
      <c r="G24" s="3"/>
      <c r="H24" s="3"/>
    </row>
    <row r="25" spans="1:8" ht="42" customHeight="1" x14ac:dyDescent="0.25">
      <c r="A25" s="5">
        <v>22</v>
      </c>
      <c r="B25" s="1"/>
      <c r="C25" s="1"/>
      <c r="D25" s="1"/>
      <c r="E25" s="6"/>
      <c r="F25" s="1"/>
      <c r="G25" s="1"/>
      <c r="H25" s="1"/>
    </row>
    <row r="26" spans="1:8" ht="42" customHeight="1" x14ac:dyDescent="0.25">
      <c r="A26" s="2">
        <v>23</v>
      </c>
      <c r="B26" s="3"/>
      <c r="C26" s="3"/>
      <c r="D26" s="3"/>
      <c r="E26" s="4"/>
      <c r="F26" s="3"/>
      <c r="G26" s="3"/>
      <c r="H26" s="3"/>
    </row>
    <row r="27" spans="1:8" ht="42" customHeight="1" x14ac:dyDescent="0.25">
      <c r="A27" s="5">
        <v>24</v>
      </c>
      <c r="B27" s="1"/>
      <c r="C27" s="1"/>
      <c r="D27" s="1"/>
      <c r="E27" s="6"/>
      <c r="F27" s="1"/>
      <c r="G27" s="1"/>
      <c r="H27" s="1"/>
    </row>
    <row r="28" spans="1:8" ht="42" customHeight="1" x14ac:dyDescent="0.25">
      <c r="A28" s="2">
        <v>25</v>
      </c>
      <c r="B28" s="3"/>
      <c r="C28" s="3"/>
      <c r="D28" s="3"/>
      <c r="E28" s="4"/>
      <c r="F28" s="3"/>
      <c r="G28" s="3"/>
      <c r="H28" s="3"/>
    </row>
  </sheetData>
  <mergeCells count="2">
    <mergeCell ref="A2:H2"/>
    <mergeCell ref="A1:H1"/>
  </mergeCells>
  <conditionalFormatting sqref="E4:E28">
    <cfRule type="cellIs" dxfId="7" priority="1" operator="equal">
      <formula>0</formula>
    </cfRule>
    <cfRule type="cellIs" dxfId="6" priority="2" operator="equal">
      <formula>1</formula>
    </cfRule>
    <cfRule type="cellIs" dxfId="5" priority="3" operator="equal">
      <formula>2</formula>
    </cfRule>
    <cfRule type="cellIs" dxfId="4" priority="4" operator="equal">
      <formula>3</formula>
    </cfRule>
    <cfRule type="cellIs" dxfId="3" priority="5" operator="equal">
      <formula>4</formula>
    </cfRule>
  </conditionalFormatting>
  <dataValidations count="2">
    <dataValidation type="list" allowBlank="1" showErrorMessage="1" errorTitle="Valor invalido" error="Seleccione una heuristica de la lista." sqref="B4:B28" xr:uid="{00000000-0002-0000-0100-000000000000}">
      <formula1>_xlfn._LONGTEXT("H1 -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whole" allowBlank="1" showInputMessage="1" showErrorMessage="1" errorTitle="Severidad invalida" error="Ingrese un numero entre 0 y 4." promptTitle="Escala de severidad" prompt="0=No problema  1=Cosmético  2=Menor  3=Mayor  4=Catastrófico" sqref="E4:E28" xr:uid="{00000000-0002-0000-0100-000001000000}">
      <formula1>0</formula1>
      <formula2>4</formula2>
    </dataValidation>
  </dataValidations>
  <hyperlinks>
    <hyperlink ref="F4" r:id="rId1" xr:uid="{100EE0F0-D36F-4BFF-B565-548E692B418A}"/>
    <hyperlink ref="F5:F18" r:id="rId2" display="https://drive.google.com/drive/folders/1eeM5h0WIHc147EO5JgNg5sCyIfsBQaA-" xr:uid="{5C9C11C5-DBC4-494D-B5B5-F03735CF5724}"/>
    <hyperlink ref="F5" r:id="rId3" xr:uid="{CBA3CBDC-1997-4EBF-AB99-AAB2D005794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showGridLines="0" workbookViewId="0">
      <selection activeCell="A23" sqref="A23"/>
    </sheetView>
  </sheetViews>
  <sheetFormatPr baseColWidth="10" defaultColWidth="8.85546875" defaultRowHeight="15" x14ac:dyDescent="0.25"/>
  <cols>
    <col min="1" max="1" width="3" customWidth="1"/>
    <col min="2" max="2" width="28" customWidth="1"/>
    <col min="3" max="5" width="14" customWidth="1"/>
    <col min="6" max="6" width="18" customWidth="1"/>
    <col min="7" max="7" width="20" customWidth="1"/>
  </cols>
  <sheetData>
    <row r="1" spans="2:7" ht="32.1" customHeight="1" x14ac:dyDescent="0.25">
      <c r="B1" s="22" t="s">
        <v>109</v>
      </c>
      <c r="C1" s="23"/>
      <c r="D1" s="23"/>
      <c r="E1" s="23"/>
      <c r="F1" s="23"/>
      <c r="G1" s="23"/>
    </row>
    <row r="2" spans="2:7" ht="15.95" customHeight="1" x14ac:dyDescent="0.25">
      <c r="B2" s="29" t="s">
        <v>26</v>
      </c>
      <c r="C2" s="23"/>
      <c r="D2" s="23"/>
      <c r="E2" s="23"/>
      <c r="F2" s="23"/>
      <c r="G2" s="23"/>
    </row>
    <row r="4" spans="2:7" ht="18" customHeight="1" x14ac:dyDescent="0.25">
      <c r="B4" s="24" t="s">
        <v>27</v>
      </c>
      <c r="C4" s="25"/>
      <c r="D4" s="25"/>
      <c r="E4" s="25"/>
      <c r="F4" s="25"/>
      <c r="G4" s="25"/>
    </row>
    <row r="5" spans="2:7" ht="21.95" customHeight="1" x14ac:dyDescent="0.25">
      <c r="B5" s="9" t="s">
        <v>28</v>
      </c>
      <c r="C5" s="26">
        <f>COUNTA(Evaluacion!C4:C28)</f>
        <v>15</v>
      </c>
      <c r="D5" s="27"/>
    </row>
    <row r="6" spans="2:7" ht="21.95" customHeight="1" x14ac:dyDescent="0.25">
      <c r="B6" s="9" t="s">
        <v>29</v>
      </c>
      <c r="C6" s="30">
        <f>IFERROR(AVERAGE(Evaluacion!E4:E28),0)</f>
        <v>2.2000000000000002</v>
      </c>
      <c r="D6" s="27"/>
    </row>
    <row r="7" spans="2:7" ht="21.95" customHeight="1" x14ac:dyDescent="0.25">
      <c r="B7" s="9" t="s">
        <v>30</v>
      </c>
      <c r="C7" s="26">
        <f>COUNTIF(Evaluacion!E4:E28,4)</f>
        <v>0</v>
      </c>
      <c r="D7" s="27"/>
    </row>
    <row r="8" spans="2:7" ht="21.95" customHeight="1" x14ac:dyDescent="0.25">
      <c r="B8" s="9" t="s">
        <v>31</v>
      </c>
      <c r="C8" s="26">
        <f>COUNTIF(Evaluacion!E4:E28,3)</f>
        <v>5</v>
      </c>
      <c r="D8" s="27"/>
    </row>
    <row r="9" spans="2:7" ht="21.95" customHeight="1" x14ac:dyDescent="0.25">
      <c r="B9" s="9" t="s">
        <v>32</v>
      </c>
      <c r="C9" s="26">
        <f>COUNTIFS(Evaluacion!E4:E28,"&gt;=1",Evaluacion!E4:E28,"&lt;=2")</f>
        <v>10</v>
      </c>
      <c r="D9" s="27"/>
    </row>
    <row r="11" spans="2:7" ht="18" customHeight="1" x14ac:dyDescent="0.25">
      <c r="B11" s="28" t="s">
        <v>33</v>
      </c>
      <c r="C11" s="23"/>
      <c r="D11" s="23"/>
      <c r="E11" s="23"/>
      <c r="F11" s="23"/>
      <c r="G11" s="23"/>
    </row>
    <row r="12" spans="2:7" ht="20.100000000000001" customHeight="1" x14ac:dyDescent="0.25">
      <c r="B12" s="8" t="s">
        <v>19</v>
      </c>
      <c r="C12" s="8" t="s">
        <v>34</v>
      </c>
      <c r="D12" s="8" t="s">
        <v>35</v>
      </c>
      <c r="E12" s="8" t="s">
        <v>36</v>
      </c>
      <c r="F12" s="8" t="s">
        <v>37</v>
      </c>
      <c r="G12" s="8" t="s">
        <v>38</v>
      </c>
    </row>
    <row r="13" spans="2:7" ht="20.100000000000001" customHeight="1" x14ac:dyDescent="0.25">
      <c r="B13" s="10" t="s">
        <v>39</v>
      </c>
      <c r="C13" s="16">
        <f>COUNTIF(Evaluacion!B4:B28,"*H1*")</f>
        <v>3</v>
      </c>
      <c r="D13" s="16">
        <f ca="1">IFERROR(_xludf.MAXIFS(Evaluacion!E4:E28,Evaluacion!B4:B28,"*H1*"),0)</f>
        <v>0</v>
      </c>
      <c r="E13" s="11">
        <f>IFERROR(AVERAGEIF(Evaluacion!B4:B28,"*H1*",Evaluacion!E4:E28),0)</f>
        <v>2</v>
      </c>
      <c r="F13" s="12" t="str">
        <f t="shared" ref="F13:F22" ca="1" si="0">IF(C13=0,"Sin problemas",IF(D13&gt;=4,"CRITICO",IF(D13&gt;=3,"MAYOR","MENOR")))</f>
        <v>MENOR</v>
      </c>
      <c r="G13" s="12" t="str">
        <f t="shared" ref="G13:G22" ca="1" si="1">IF(C13=0,"Sin problemas",IF(D13=4,"1 - Inmediata",IF(D13=3,"2 - Alta",IF(D13=2,"3 - Media","4 - Baja"))))</f>
        <v>4 - Baja</v>
      </c>
    </row>
    <row r="14" spans="2:7" ht="20.100000000000001" customHeight="1" x14ac:dyDescent="0.25">
      <c r="B14" s="13" t="s">
        <v>40</v>
      </c>
      <c r="C14" s="17">
        <f>COUNTIF(Evaluacion!B4:B28,"*H2*")</f>
        <v>2</v>
      </c>
      <c r="D14" s="17">
        <f ca="1">IFERROR(_xludf.MAXIFS(Evaluacion!E4:E28,Evaluacion!B4:B28,"*H2*"),0)</f>
        <v>0</v>
      </c>
      <c r="E14" s="14">
        <f>IFERROR(AVERAGEIF(Evaluacion!B4:B28,"*H2*",Evaluacion!E4:E28),0)</f>
        <v>2.5</v>
      </c>
      <c r="F14" s="15" t="str">
        <f t="shared" ca="1" si="0"/>
        <v>MENOR</v>
      </c>
      <c r="G14" s="15" t="str">
        <f t="shared" ca="1" si="1"/>
        <v>4 - Baja</v>
      </c>
    </row>
    <row r="15" spans="2:7" ht="20.100000000000001" customHeight="1" x14ac:dyDescent="0.25">
      <c r="B15" s="10" t="s">
        <v>41</v>
      </c>
      <c r="C15" s="16">
        <f>COUNTIF(Evaluacion!B4:B28,"*H3*")</f>
        <v>2</v>
      </c>
      <c r="D15" s="16">
        <f ca="1">IFERROR(_xludf.MAXIFS(Evaluacion!E4:E28,Evaluacion!B4:B28,"*H3*"),0)</f>
        <v>0</v>
      </c>
      <c r="E15" s="11">
        <f>IFERROR(AVERAGEIF(Evaluacion!B4:B28,"*H3*",Evaluacion!E4:E28),0)</f>
        <v>2</v>
      </c>
      <c r="F15" s="12" t="str">
        <f t="shared" ca="1" si="0"/>
        <v>MENOR</v>
      </c>
      <c r="G15" s="12" t="str">
        <f t="shared" ca="1" si="1"/>
        <v>4 - Baja</v>
      </c>
    </row>
    <row r="16" spans="2:7" ht="20.100000000000001" customHeight="1" x14ac:dyDescent="0.25">
      <c r="B16" s="13" t="s">
        <v>42</v>
      </c>
      <c r="C16" s="17">
        <f>COUNTIF(Evaluacion!B4:B28,"*H4*")</f>
        <v>1</v>
      </c>
      <c r="D16" s="17">
        <f ca="1">IFERROR(_xludf.MAXIFS(Evaluacion!E4:E28,Evaluacion!B4:B28,"*H4*"),0)</f>
        <v>0</v>
      </c>
      <c r="E16" s="14">
        <f>IFERROR(AVERAGEIF(Evaluacion!B4:B28,"*H4*",Evaluacion!E4:E28),0)</f>
        <v>2</v>
      </c>
      <c r="F16" s="15" t="str">
        <f t="shared" ca="1" si="0"/>
        <v>MENOR</v>
      </c>
      <c r="G16" s="15" t="str">
        <f t="shared" ca="1" si="1"/>
        <v>4 - Baja</v>
      </c>
    </row>
    <row r="17" spans="2:7" ht="20.100000000000001" customHeight="1" x14ac:dyDescent="0.25">
      <c r="B17" s="10" t="s">
        <v>43</v>
      </c>
      <c r="C17" s="16">
        <f>COUNTIF(Evaluacion!B4:B28,"*H5*")</f>
        <v>2</v>
      </c>
      <c r="D17" s="16">
        <f ca="1">IFERROR(_xludf.MAXIFS(Evaluacion!E4:E28,Evaluacion!B4:B28,"*H5*"),0)</f>
        <v>0</v>
      </c>
      <c r="E17" s="11">
        <f>IFERROR(AVERAGEIF(Evaluacion!B4:B28,"*H5*",Evaluacion!E4:E28),0)</f>
        <v>2.5</v>
      </c>
      <c r="F17" s="12" t="str">
        <f t="shared" ca="1" si="0"/>
        <v>MENOR</v>
      </c>
      <c r="G17" s="12" t="str">
        <f t="shared" ca="1" si="1"/>
        <v>4 - Baja</v>
      </c>
    </row>
    <row r="18" spans="2:7" ht="20.100000000000001" customHeight="1" x14ac:dyDescent="0.25">
      <c r="B18" s="13" t="s">
        <v>44</v>
      </c>
      <c r="C18" s="17">
        <f>COUNTIF(Evaluacion!B4:B28,"*H6*")</f>
        <v>2</v>
      </c>
      <c r="D18" s="17">
        <f ca="1">IFERROR(_xludf.MAXIFS(Evaluacion!E4:E28,Evaluacion!B4:B28,"*H6*"),0)</f>
        <v>0</v>
      </c>
      <c r="E18" s="14">
        <f>IFERROR(AVERAGEIF(Evaluacion!B4:B28,"*H6*",Evaluacion!E4:E28),0)</f>
        <v>1.5</v>
      </c>
      <c r="F18" s="15" t="str">
        <f t="shared" ca="1" si="0"/>
        <v>MENOR</v>
      </c>
      <c r="G18" s="15" t="str">
        <f t="shared" ca="1" si="1"/>
        <v>4 - Baja</v>
      </c>
    </row>
    <row r="19" spans="2:7" ht="20.100000000000001" customHeight="1" x14ac:dyDescent="0.25">
      <c r="B19" s="10" t="s">
        <v>45</v>
      </c>
      <c r="C19" s="16">
        <f>COUNTIF(Evaluacion!B4:B28,"*H7*")</f>
        <v>0</v>
      </c>
      <c r="D19" s="16">
        <f ca="1">IFERROR(_xludf.MAXIFS(Evaluacion!E4:E28,Evaluacion!B4:B28,"*H7*"),0)</f>
        <v>0</v>
      </c>
      <c r="E19" s="11">
        <f>IFERROR(AVERAGEIF(Evaluacion!B4:B28,"*H7*",Evaluacion!E4:E28),0)</f>
        <v>0</v>
      </c>
      <c r="F19" s="12" t="str">
        <f t="shared" si="0"/>
        <v>Sin problemas</v>
      </c>
      <c r="G19" s="12" t="str">
        <f t="shared" si="1"/>
        <v>Sin problemas</v>
      </c>
    </row>
    <row r="20" spans="2:7" ht="20.100000000000001" customHeight="1" x14ac:dyDescent="0.25">
      <c r="B20" s="13" t="s">
        <v>46</v>
      </c>
      <c r="C20" s="17">
        <f>COUNTIF(Evaluacion!B4:B28,"*H8*")</f>
        <v>1</v>
      </c>
      <c r="D20" s="17">
        <f ca="1">IFERROR(_xludf.MAXIFS(Evaluacion!E4:E28,Evaluacion!B4:B28,"*H8*"),0)</f>
        <v>0</v>
      </c>
      <c r="E20" s="14">
        <f>IFERROR(AVERAGEIF(Evaluacion!B4:B28,"*H8*",Evaluacion!E4:E28),0)</f>
        <v>2</v>
      </c>
      <c r="F20" s="15" t="str">
        <f t="shared" ca="1" si="0"/>
        <v>MENOR</v>
      </c>
      <c r="G20" s="15" t="str">
        <f t="shared" ca="1" si="1"/>
        <v>4 - Baja</v>
      </c>
    </row>
    <row r="21" spans="2:7" ht="20.100000000000001" customHeight="1" x14ac:dyDescent="0.25">
      <c r="B21" s="10" t="s">
        <v>47</v>
      </c>
      <c r="C21" s="16">
        <f>COUNTIF(Evaluacion!B4:B28,"*H9*")</f>
        <v>2</v>
      </c>
      <c r="D21" s="16">
        <f ca="1">IFERROR(_xludf.MAXIFS(Evaluacion!E4:E28,Evaluacion!B4:B28,"*H9*"),0)</f>
        <v>0</v>
      </c>
      <c r="E21" s="11">
        <f>IFERROR(AVERAGEIF(Evaluacion!B4:B28,"*H9*",Evaluacion!E4:E28),0)</f>
        <v>3</v>
      </c>
      <c r="F21" s="12" t="str">
        <f t="shared" ca="1" si="0"/>
        <v>MENOR</v>
      </c>
      <c r="G21" s="12" t="str">
        <f t="shared" ca="1" si="1"/>
        <v>4 - Baja</v>
      </c>
    </row>
    <row r="22" spans="2:7" ht="20.100000000000001" customHeight="1" x14ac:dyDescent="0.25">
      <c r="B22" s="13" t="s">
        <v>48</v>
      </c>
      <c r="C22" s="17">
        <f>COUNTIF(Evaluacion!B4:B28,"*H10*")</f>
        <v>1</v>
      </c>
      <c r="D22" s="17">
        <f ca="1">IFERROR(_xludf.MAXIFS(Evaluacion!E4:E28,Evaluacion!B4:B28,"*H10*"),0)</f>
        <v>0</v>
      </c>
      <c r="E22" s="14">
        <f>IFERROR(AVERAGEIF(Evaluacion!B4:B28,"*H10*",Evaluacion!E4:E28),0)</f>
        <v>1</v>
      </c>
      <c r="F22" s="15" t="str">
        <f t="shared" ca="1" si="0"/>
        <v>MENOR</v>
      </c>
      <c r="G22" s="15" t="str">
        <f t="shared" ca="1" si="1"/>
        <v>4 - Baja</v>
      </c>
    </row>
  </sheetData>
  <mergeCells count="9">
    <mergeCell ref="B1:G1"/>
    <mergeCell ref="B4:G4"/>
    <mergeCell ref="C9:D9"/>
    <mergeCell ref="C8:D8"/>
    <mergeCell ref="B11:G11"/>
    <mergeCell ref="B2:G2"/>
    <mergeCell ref="C6:D6"/>
    <mergeCell ref="C7:D7"/>
    <mergeCell ref="C5:D5"/>
  </mergeCells>
  <conditionalFormatting sqref="F13:F22">
    <cfRule type="cellIs" dxfId="2" priority="1" operator="equal">
      <formula>"CRITICO"</formula>
    </cfRule>
    <cfRule type="cellIs" dxfId="1" priority="2" operator="equal">
      <formula>"MAYOR"</formula>
    </cfRule>
    <cfRule type="cellIs" dxfId="0" priority="3" operator="equal">
      <formula>"Sin problemas"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zoomScale="85" zoomScaleNormal="85" workbookViewId="0">
      <selection activeCell="C4" sqref="C4"/>
    </sheetView>
  </sheetViews>
  <sheetFormatPr baseColWidth="10" defaultColWidth="8.85546875" defaultRowHeight="15" x14ac:dyDescent="0.25"/>
  <cols>
    <col min="1" max="1" width="3" customWidth="1"/>
    <col min="2" max="2" width="7" customWidth="1"/>
    <col min="3" max="3" width="26" customWidth="1"/>
    <col min="4" max="4" width="38" customWidth="1"/>
    <col min="5" max="5" width="32" customWidth="1"/>
    <col min="6" max="6" width="28" customWidth="1"/>
  </cols>
  <sheetData>
    <row r="1" spans="2:6" ht="32.1" customHeight="1" x14ac:dyDescent="0.25">
      <c r="B1" s="22" t="s">
        <v>49</v>
      </c>
      <c r="C1" s="23"/>
      <c r="D1" s="23"/>
      <c r="E1" s="23"/>
      <c r="F1" s="23"/>
    </row>
    <row r="2" spans="2:6" ht="15.95" customHeight="1" x14ac:dyDescent="0.25">
      <c r="B2" s="29" t="s">
        <v>50</v>
      </c>
      <c r="C2" s="23"/>
      <c r="D2" s="23"/>
      <c r="E2" s="23"/>
      <c r="F2" s="23"/>
    </row>
    <row r="3" spans="2:6" ht="21.95" customHeight="1" x14ac:dyDescent="0.25">
      <c r="B3" s="8" t="s">
        <v>18</v>
      </c>
      <c r="C3" s="8" t="s">
        <v>19</v>
      </c>
      <c r="D3" s="8" t="s">
        <v>51</v>
      </c>
      <c r="E3" s="8" t="s">
        <v>52</v>
      </c>
      <c r="F3" s="8" t="s">
        <v>53</v>
      </c>
    </row>
    <row r="4" spans="2:6" ht="57.95" customHeight="1" x14ac:dyDescent="0.25">
      <c r="B4" s="18" t="s">
        <v>54</v>
      </c>
      <c r="C4" s="19" t="s">
        <v>55</v>
      </c>
      <c r="D4" s="20" t="s">
        <v>56</v>
      </c>
      <c r="E4" s="20" t="s">
        <v>57</v>
      </c>
      <c r="F4" s="20" t="s">
        <v>58</v>
      </c>
    </row>
    <row r="5" spans="2:6" ht="57.95" customHeight="1" x14ac:dyDescent="0.25">
      <c r="B5" s="18" t="s">
        <v>59</v>
      </c>
      <c r="C5" s="19" t="s">
        <v>60</v>
      </c>
      <c r="D5" s="20" t="s">
        <v>61</v>
      </c>
      <c r="E5" s="20" t="s">
        <v>62</v>
      </c>
      <c r="F5" s="20" t="s">
        <v>63</v>
      </c>
    </row>
    <row r="6" spans="2:6" ht="57.95" customHeight="1" x14ac:dyDescent="0.25">
      <c r="B6" s="18" t="s">
        <v>64</v>
      </c>
      <c r="C6" s="19" t="s">
        <v>65</v>
      </c>
      <c r="D6" s="20" t="s">
        <v>66</v>
      </c>
      <c r="E6" s="20" t="s">
        <v>67</v>
      </c>
      <c r="F6" s="20" t="s">
        <v>68</v>
      </c>
    </row>
    <row r="7" spans="2:6" ht="57.95" customHeight="1" x14ac:dyDescent="0.25">
      <c r="B7" s="18" t="s">
        <v>69</v>
      </c>
      <c r="C7" s="19" t="s">
        <v>70</v>
      </c>
      <c r="D7" s="20" t="s">
        <v>71</v>
      </c>
      <c r="E7" s="20" t="s">
        <v>72</v>
      </c>
      <c r="F7" s="20" t="s">
        <v>73</v>
      </c>
    </row>
    <row r="8" spans="2:6" ht="57.95" customHeight="1" x14ac:dyDescent="0.25">
      <c r="B8" s="18" t="s">
        <v>74</v>
      </c>
      <c r="C8" s="19" t="s">
        <v>75</v>
      </c>
      <c r="D8" s="20" t="s">
        <v>76</v>
      </c>
      <c r="E8" s="20" t="s">
        <v>77</v>
      </c>
      <c r="F8" s="20" t="s">
        <v>78</v>
      </c>
    </row>
    <row r="9" spans="2:6" ht="57.95" customHeight="1" x14ac:dyDescent="0.25">
      <c r="B9" s="18" t="s">
        <v>79</v>
      </c>
      <c r="C9" s="19" t="s">
        <v>80</v>
      </c>
      <c r="D9" s="20" t="s">
        <v>81</v>
      </c>
      <c r="E9" s="20" t="s">
        <v>82</v>
      </c>
      <c r="F9" s="20" t="s">
        <v>83</v>
      </c>
    </row>
    <row r="10" spans="2:6" ht="57.95" customHeight="1" x14ac:dyDescent="0.25">
      <c r="B10" s="18" t="s">
        <v>84</v>
      </c>
      <c r="C10" s="19" t="s">
        <v>85</v>
      </c>
      <c r="D10" s="20" t="s">
        <v>86</v>
      </c>
      <c r="E10" s="20" t="s">
        <v>87</v>
      </c>
      <c r="F10" s="20" t="s">
        <v>88</v>
      </c>
    </row>
    <row r="11" spans="2:6" ht="57.95" customHeight="1" x14ac:dyDescent="0.25">
      <c r="B11" s="18" t="s">
        <v>89</v>
      </c>
      <c r="C11" s="19" t="s">
        <v>90</v>
      </c>
      <c r="D11" s="20" t="s">
        <v>91</v>
      </c>
      <c r="E11" s="20" t="s">
        <v>92</v>
      </c>
      <c r="F11" s="20" t="s">
        <v>93</v>
      </c>
    </row>
    <row r="12" spans="2:6" ht="57.95" customHeight="1" x14ac:dyDescent="0.25">
      <c r="B12" s="18" t="s">
        <v>94</v>
      </c>
      <c r="C12" s="19" t="s">
        <v>95</v>
      </c>
      <c r="D12" s="20" t="s">
        <v>96</v>
      </c>
      <c r="E12" s="20" t="s">
        <v>97</v>
      </c>
      <c r="F12" s="20" t="s">
        <v>98</v>
      </c>
    </row>
    <row r="13" spans="2:6" ht="57.95" customHeight="1" x14ac:dyDescent="0.25">
      <c r="B13" s="18" t="s">
        <v>99</v>
      </c>
      <c r="C13" s="19" t="s">
        <v>100</v>
      </c>
      <c r="D13" s="20" t="s">
        <v>101</v>
      </c>
      <c r="E13" s="20" t="s">
        <v>102</v>
      </c>
      <c r="F13" s="20" t="s">
        <v>103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Evaluacion</vt:lpstr>
      <vt:lpstr>Resumen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BENJAMIN GONZALEZ FLORES</cp:lastModifiedBy>
  <dcterms:created xsi:type="dcterms:W3CDTF">2026-06-12T14:00:04Z</dcterms:created>
  <dcterms:modified xsi:type="dcterms:W3CDTF">2026-06-22T22:28:39Z</dcterms:modified>
</cp:coreProperties>
</file>